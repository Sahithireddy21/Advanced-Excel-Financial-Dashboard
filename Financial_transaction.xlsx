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hit\Downloads\"/>
    </mc:Choice>
  </mc:AlternateContent>
  <xr:revisionPtr revIDLastSave="0" documentId="13_ncr:1_{BC56A9C8-1DA5-482C-819D-C8B237577B46}" xr6:coauthVersionLast="47" xr6:coauthVersionMax="47" xr10:uidLastSave="{00000000-0000-0000-0000-000000000000}"/>
  <bookViews>
    <workbookView xWindow="28680" yWindow="-120" windowWidth="29040" windowHeight="15720" activeTab="3" xr2:uid="{902BBD51-34AD-4F71-AC00-067F683A9BBA}"/>
  </bookViews>
  <sheets>
    <sheet name="Raw_Data" sheetId="2" r:id="rId1"/>
    <sheet name="KPI_Calculations" sheetId="1" r:id="rId2"/>
    <sheet name="Pivot_Analysis" sheetId="4" r:id="rId3"/>
    <sheet name="Dashboard" sheetId="5" r:id="rId4"/>
    <sheet name="Instructions" sheetId="10" r:id="rId5"/>
    <sheet name="Chart_Data" sheetId="7" r:id="rId6"/>
  </sheets>
  <definedNames>
    <definedName name="_xlchart.v1.0" hidden="1">KPI_Calculations!$A$24:$A$26</definedName>
    <definedName name="_xlchart.v1.1" hidden="1">KPI_Calculations!$B$23</definedName>
    <definedName name="_xlchart.v1.2" hidden="1">KPI_Calculations!$B$24:$B$26</definedName>
    <definedName name="_xlchart.v1.3" hidden="1">KPI_Calculations!$A$24:$A$26</definedName>
    <definedName name="_xlchart.v1.4" hidden="1">KPI_Calculations!$B$23</definedName>
    <definedName name="_xlchart.v1.5" hidden="1">KPI_Calculations!$B$24:$B$26</definedName>
    <definedName name="ExternalData_1" localSheetId="0" hidden="1">Raw_Data!$A$1:$G$49</definedName>
    <definedName name="Slicer_Department1">#N/A</definedName>
    <definedName name="Slicer_Month">#N/A</definedName>
  </definedNames>
  <calcPr calcId="191029"/>
  <pivotCaches>
    <pivotCache cacheId="2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 l="1"/>
  <c r="B4" i="7"/>
  <c r="B2" i="7"/>
  <c r="C10" i="1"/>
  <c r="C11" i="1"/>
  <c r="C12" i="1"/>
  <c r="C13" i="1"/>
  <c r="C14" i="1"/>
  <c r="C15" i="1"/>
  <c r="C16" i="1"/>
  <c r="C17" i="1"/>
  <c r="C18" i="1"/>
  <c r="C19" i="1"/>
  <c r="C20" i="1"/>
  <c r="C9" i="1"/>
  <c r="B10" i="1"/>
  <c r="B11" i="1"/>
  <c r="B12" i="1"/>
  <c r="B13" i="1"/>
  <c r="B14" i="1"/>
  <c r="B15" i="1"/>
  <c r="B16" i="1"/>
  <c r="B17" i="1"/>
  <c r="B18" i="1"/>
  <c r="B19" i="1"/>
  <c r="B20" i="1"/>
  <c r="B9" i="1"/>
  <c r="B3" i="1"/>
  <c r="B2" i="1"/>
  <c r="B29" i="1" s="1"/>
  <c r="B31" i="1" s="1"/>
  <c r="D14" i="1" l="1"/>
  <c r="D16" i="1"/>
  <c r="D17" i="1"/>
  <c r="D19" i="1"/>
  <c r="D20" i="1"/>
  <c r="D9" i="1"/>
  <c r="D11" i="1"/>
  <c r="D18" i="1"/>
  <c r="D12" i="1"/>
  <c r="D13" i="1"/>
  <c r="D15" i="1"/>
  <c r="D10" i="1"/>
  <c r="B25" i="1"/>
  <c r="C3" i="5"/>
  <c r="B4" i="1"/>
  <c r="B24" i="1"/>
  <c r="B3" i="5"/>
  <c r="B26" i="1" l="1"/>
  <c r="B5" i="1"/>
  <c r="E3" i="5" s="1"/>
  <c r="D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9279CE-23C8-456D-BDBE-F18ED0558DC8}" keepAlive="1" name="Query - financial_transactions" description="Connection to the 'financial_transactions' query in the workbook." type="5" refreshedVersion="8" background="1" saveData="1">
    <dbPr connection="Provider=Microsoft.Mashup.OleDb.1;Data Source=$Workbook$;Location=financial_transactions;Extended Properties=&quot;&quot;" command="SELECT * FROM [financial_transactions]"/>
  </connection>
</connections>
</file>

<file path=xl/sharedStrings.xml><?xml version="1.0" encoding="utf-8"?>
<sst xmlns="http://schemas.openxmlformats.org/spreadsheetml/2006/main" count="414" uniqueCount="128">
  <si>
    <t>Date</t>
  </si>
  <si>
    <t>Month</t>
  </si>
  <si>
    <t>Department</t>
  </si>
  <si>
    <t>Category</t>
  </si>
  <si>
    <t>Sub_Category</t>
  </si>
  <si>
    <t>Amount</t>
  </si>
  <si>
    <t>Type</t>
  </si>
  <si>
    <t>Jan</t>
  </si>
  <si>
    <t>Sales</t>
  </si>
  <si>
    <t>Revenue</t>
  </si>
  <si>
    <t>Product A</t>
  </si>
  <si>
    <t>Income</t>
  </si>
  <si>
    <t>Marketing</t>
  </si>
  <si>
    <t>Expense</t>
  </si>
  <si>
    <t>Digital Ads</t>
  </si>
  <si>
    <t>HR</t>
  </si>
  <si>
    <t>Salaries</t>
  </si>
  <si>
    <t>IT</t>
  </si>
  <si>
    <t>Cloud Services</t>
  </si>
  <si>
    <t>Feb</t>
  </si>
  <si>
    <t>Campaign Launch</t>
  </si>
  <si>
    <t>Cloud Migration</t>
  </si>
  <si>
    <t>Mar</t>
  </si>
  <si>
    <t>Product B Launch</t>
  </si>
  <si>
    <t>Influencer Ads</t>
  </si>
  <si>
    <t>Infrastructure</t>
  </si>
  <si>
    <t>Apr</t>
  </si>
  <si>
    <t>Product B</t>
  </si>
  <si>
    <t>Brand Campaign</t>
  </si>
  <si>
    <t>Cloud Scaling</t>
  </si>
  <si>
    <t>May</t>
  </si>
  <si>
    <t>SEO Ads</t>
  </si>
  <si>
    <t>Security Tools</t>
  </si>
  <si>
    <t>Jun</t>
  </si>
  <si>
    <t>Product C Launch</t>
  </si>
  <si>
    <t>Product Promotion</t>
  </si>
  <si>
    <t>Cloud Expansion</t>
  </si>
  <si>
    <t>Jul</t>
  </si>
  <si>
    <t>Product C</t>
  </si>
  <si>
    <t>Retargeting Ads</t>
  </si>
  <si>
    <t>Aug</t>
  </si>
  <si>
    <t>Social Media Ads</t>
  </si>
  <si>
    <t>Monitoring Tools</t>
  </si>
  <si>
    <t>Sep</t>
  </si>
  <si>
    <t>Brand Awareness</t>
  </si>
  <si>
    <t>Server Upgrade</t>
  </si>
  <si>
    <t>Oct</t>
  </si>
  <si>
    <t>Festival Campaign</t>
  </si>
  <si>
    <t>Cloud Optimization</t>
  </si>
  <si>
    <t>Nov</t>
  </si>
  <si>
    <t>Holiday Ads</t>
  </si>
  <si>
    <t>Data Backup</t>
  </si>
  <si>
    <t>Dec</t>
  </si>
  <si>
    <t>Year-End Sales</t>
  </si>
  <si>
    <t>Year-End Campaign</t>
  </si>
  <si>
    <t>System Upgrade</t>
  </si>
  <si>
    <t>Total Revenue</t>
  </si>
  <si>
    <t>Total Expenses</t>
  </si>
  <si>
    <t>Net Profit</t>
  </si>
  <si>
    <t>Profit Margin %</t>
  </si>
  <si>
    <t>Expenses</t>
  </si>
  <si>
    <t>Profit</t>
  </si>
  <si>
    <t>Row Labels</t>
  </si>
  <si>
    <t>Grand Total</t>
  </si>
  <si>
    <t>Sum of Amount</t>
  </si>
  <si>
    <t>(All)</t>
  </si>
  <si>
    <t>Profit Margin</t>
  </si>
  <si>
    <t>Metric</t>
  </si>
  <si>
    <t>Value</t>
  </si>
  <si>
    <t>Actual Revenue</t>
  </si>
  <si>
    <t>Target Revenue</t>
  </si>
  <si>
    <t>Remaining</t>
  </si>
  <si>
    <t>\</t>
  </si>
  <si>
    <t>1. Purpose of the Dashboard</t>
  </si>
  <si>
    <r>
      <t xml:space="preserve">This Excel dashboard is designed to provide a </t>
    </r>
    <r>
      <rPr>
        <b/>
        <sz val="11"/>
        <color theme="1"/>
        <rFont val="Aptos Narrow"/>
        <family val="2"/>
        <scheme val="minor"/>
      </rPr>
      <t>comprehensive monthly financial overview</t>
    </r>
    <r>
      <rPr>
        <sz val="11"/>
        <color theme="1"/>
        <rFont val="Aptos Narrow"/>
        <family val="2"/>
        <scheme val="minor"/>
      </rPr>
      <t xml:space="preserve"> of the organization. It enables users to monitor revenue performance, expense distribution, profitability, and progress against financial targets in an interactive manner.</t>
    </r>
  </si>
  <si>
    <r>
      <t xml:space="preserve">The dashboard supports </t>
    </r>
    <r>
      <rPr>
        <b/>
        <sz val="11"/>
        <color theme="1"/>
        <rFont val="Aptos Narrow"/>
        <family val="2"/>
        <scheme val="minor"/>
      </rPr>
      <t>decision-making</t>
    </r>
    <r>
      <rPr>
        <sz val="11"/>
        <color theme="1"/>
        <rFont val="Aptos Narrow"/>
        <family val="2"/>
        <scheme val="minor"/>
      </rPr>
      <t xml:space="preserve"> by presenting key financial indicators visually and allowing dynamic filtering.</t>
    </r>
  </si>
  <si>
    <t>2. Data Ingestion &amp; Refresh Process</t>
  </si>
  <si>
    <r>
      <t xml:space="preserve">Financial data is sourced from CSV files and imported into Excel using </t>
    </r>
    <r>
      <rPr>
        <b/>
        <sz val="11"/>
        <color theme="1"/>
        <rFont val="Aptos Narrow"/>
        <family val="2"/>
        <scheme val="minor"/>
      </rPr>
      <t>Power Query</t>
    </r>
    <r>
      <rPr>
        <sz val="11"/>
        <color theme="1"/>
        <rFont val="Aptos Narrow"/>
        <family val="2"/>
        <scheme val="minor"/>
      </rPr>
      <t>. Power Query is used for data cleansing, formatting, and loading.</t>
    </r>
  </si>
  <si>
    <t>To refresh the data:</t>
  </si>
  <si>
    <t>1. Open the Excel workbook</t>
  </si>
  <si>
    <r>
      <t xml:space="preserve">2. Go to </t>
    </r>
    <r>
      <rPr>
        <b/>
        <sz val="11"/>
        <color theme="1"/>
        <rFont val="Aptos Narrow"/>
        <family val="2"/>
        <scheme val="minor"/>
      </rPr>
      <t>Data → Refresh All</t>
    </r>
  </si>
  <si>
    <t>3. All KPIs, pivot tables, and charts update automatically</t>
  </si>
  <si>
    <r>
      <t>Note:</t>
    </r>
    <r>
      <rPr>
        <sz val="11"/>
        <color theme="1"/>
        <rFont val="Aptos Narrow"/>
        <family val="2"/>
        <scheme val="minor"/>
      </rPr>
      <t xml:space="preserve"> Do not manually edit the Raw_Data sheet, as it is overwritten during refresh.</t>
    </r>
  </si>
  <si>
    <t>3. Key Performance Indicators (KPIs)</t>
  </si>
  <si>
    <t>The following KPIs are calculated and displayed at the top of the dashboard:</t>
  </si>
  <si>
    <r>
      <t>Total Revenue</t>
    </r>
    <r>
      <rPr>
        <sz val="11"/>
        <color theme="1"/>
        <rFont val="Aptos Narrow"/>
        <family val="2"/>
        <scheme val="minor"/>
      </rPr>
      <t xml:space="preserve"> – Total income generated during the selected period</t>
    </r>
  </si>
  <si>
    <r>
      <t>Total Expenses</t>
    </r>
    <r>
      <rPr>
        <sz val="11"/>
        <color theme="1"/>
        <rFont val="Aptos Narrow"/>
        <family val="2"/>
        <scheme val="minor"/>
      </rPr>
      <t xml:space="preserve"> – Total operational expenses incurred</t>
    </r>
  </si>
  <si>
    <r>
      <t>Net Profit</t>
    </r>
    <r>
      <rPr>
        <sz val="11"/>
        <color theme="1"/>
        <rFont val="Aptos Narrow"/>
        <family val="2"/>
        <scheme val="minor"/>
      </rPr>
      <t xml:space="preserve"> – Difference between revenue and expenses</t>
    </r>
  </si>
  <si>
    <r>
      <t>Profit Margin (%)</t>
    </r>
    <r>
      <rPr>
        <sz val="11"/>
        <color theme="1"/>
        <rFont val="Aptos Narrow"/>
        <family val="2"/>
        <scheme val="minor"/>
      </rPr>
      <t xml:space="preserve"> – Net profit expressed as a percentage of revenue</t>
    </r>
  </si>
  <si>
    <t>All KPIs are calculated dynamically using Excel formulas and update based on slicer selections.</t>
  </si>
  <si>
    <t>4. Dashboard Visualizations</t>
  </si>
  <si>
    <t>The dashboard includes multiple charts to provide different analytical perspectives:</t>
  </si>
  <si>
    <t>Monthly Revenue &amp; Profit Trend</t>
  </si>
  <si>
    <t>Displays how revenue and profit change month-by-month, helping identify growth patterns and seasonal behavior.</t>
  </si>
  <si>
    <t>Department-wise Expense Chart</t>
  </si>
  <si>
    <t>Compares total expenses across departments to identify major cost centers.</t>
  </si>
  <si>
    <t>Revenue to Net Profit Waterfall Chart</t>
  </si>
  <si>
    <t>Visually explains how expenses impact revenue to arrive at net profit.</t>
  </si>
  <si>
    <t>Revenue Target Achievement Gauge</t>
  </si>
  <si>
    <t>Shows progress toward the revenue target, highlighting achieved value and remaining gap.</t>
  </si>
  <si>
    <t>5. Interactivity &amp; Filters</t>
  </si>
  <si>
    <r>
      <t xml:space="preserve">The dashboard supports user interaction through </t>
    </r>
    <r>
      <rPr>
        <b/>
        <sz val="11"/>
        <color theme="1"/>
        <rFont val="Aptos Narrow"/>
        <family val="2"/>
        <scheme val="minor"/>
      </rPr>
      <t>slicers</t>
    </r>
    <r>
      <rPr>
        <sz val="11"/>
        <color theme="1"/>
        <rFont val="Aptos Narrow"/>
        <family val="2"/>
        <scheme val="minor"/>
      </rPr>
      <t>:</t>
    </r>
  </si>
  <si>
    <r>
      <t>Month Slicer</t>
    </r>
    <r>
      <rPr>
        <sz val="11"/>
        <color theme="1"/>
        <rFont val="Aptos Narrow"/>
        <family val="2"/>
        <scheme val="minor"/>
      </rPr>
      <t xml:space="preserve"> – Filters all visuals by selected months</t>
    </r>
  </si>
  <si>
    <r>
      <t>Department Slicer</t>
    </r>
    <r>
      <rPr>
        <sz val="11"/>
        <color theme="1"/>
        <rFont val="Aptos Narrow"/>
        <family val="2"/>
        <scheme val="minor"/>
      </rPr>
      <t xml:space="preserve"> – Filters expense-related analysis by department</t>
    </r>
  </si>
  <si>
    <t>Slicers allow users to focus on specific periods or departments without modifying the underlying data.</t>
  </si>
  <si>
    <t>6. Calculation Logic &amp; Formulas</t>
  </si>
  <si>
    <t>The following Excel techniques are used in this workbook:</t>
  </si>
  <si>
    <r>
      <t>SUMIFS</t>
    </r>
    <r>
      <rPr>
        <sz val="11"/>
        <color theme="1"/>
        <rFont val="Aptos Narrow"/>
        <family val="2"/>
        <scheme val="minor"/>
      </rPr>
      <t xml:space="preserve"> – For aggregating revenue, expenses, and monthly totals</t>
    </r>
  </si>
  <si>
    <r>
      <t>Dynamic Excel Tables</t>
    </r>
    <r>
      <rPr>
        <sz val="11"/>
        <color theme="1"/>
        <rFont val="Aptos Narrow"/>
        <family val="2"/>
        <scheme val="minor"/>
      </rPr>
      <t xml:space="preserve"> – Ensure formulas and visuals expand automatically when new data is added</t>
    </r>
  </si>
  <si>
    <t>This design ensures scalability and minimizes manual intervention.</t>
  </si>
  <si>
    <t>7. Workbook Structure</t>
  </si>
  <si>
    <t>The workbook is organized into multiple sheets for clarity:</t>
  </si>
  <si>
    <r>
      <t>KPI_Calculations</t>
    </r>
    <r>
      <rPr>
        <sz val="11"/>
        <color theme="1"/>
        <rFont val="Aptos Narrow"/>
        <family val="2"/>
        <scheme val="minor"/>
      </rPr>
      <t xml:space="preserve"> – KPI formulas and helper calculations</t>
    </r>
  </si>
  <si>
    <r>
      <t>Pivot_Analysis</t>
    </r>
    <r>
      <rPr>
        <sz val="11"/>
        <color theme="1"/>
        <rFont val="Aptos Narrow"/>
        <family val="2"/>
        <scheme val="minor"/>
      </rPr>
      <t xml:space="preserve"> – Pivot tables supporting charts and slicers</t>
    </r>
  </si>
  <si>
    <r>
      <t>Dashboard</t>
    </r>
    <r>
      <rPr>
        <sz val="11"/>
        <color theme="1"/>
        <rFont val="Aptos Narrow"/>
        <family val="2"/>
        <scheme val="minor"/>
      </rPr>
      <t xml:space="preserve"> – Final interactive dashboard</t>
    </r>
  </si>
  <si>
    <t>8. Usage Guidelines</t>
  </si>
  <si>
    <t>Use slicers for filtering instead of editing data manually</t>
  </si>
  <si>
    <r>
      <t xml:space="preserve">Refresh data using </t>
    </r>
    <r>
      <rPr>
        <b/>
        <sz val="11"/>
        <color theme="1"/>
        <rFont val="Aptos Narrow"/>
        <family val="2"/>
        <scheme val="minor"/>
      </rPr>
      <t>Refresh All</t>
    </r>
    <r>
      <rPr>
        <sz val="11"/>
        <color theme="1"/>
        <rFont val="Aptos Narrow"/>
        <family val="2"/>
        <scheme val="minor"/>
      </rPr>
      <t xml:space="preserve"> when source files change</t>
    </r>
  </si>
  <si>
    <t>Avoid editing formulas in calculation sheets unless required</t>
  </si>
  <si>
    <t>9. Intended Audience</t>
  </si>
  <si>
    <t>This dashboard is intended for:</t>
  </si>
  <si>
    <t>Business analysts</t>
  </si>
  <si>
    <t>Finance teams</t>
  </si>
  <si>
    <t>Management users</t>
  </si>
  <si>
    <r>
      <t xml:space="preserve">It is designed for </t>
    </r>
    <r>
      <rPr>
        <b/>
        <sz val="11"/>
        <color theme="1"/>
        <rFont val="Aptos Narrow"/>
        <family val="2"/>
        <scheme val="minor"/>
      </rPr>
      <t>quick insight rather than detailed transaction-level analysis</t>
    </r>
    <r>
      <rPr>
        <sz val="11"/>
        <color theme="1"/>
        <rFont val="Aptos Narrow"/>
        <family val="2"/>
        <scheme val="minor"/>
      </rPr>
      <t>.</t>
    </r>
  </si>
  <si>
    <t xml:space="preserve"> Financial Dashboard – User Guide</t>
  </si>
  <si>
    <r>
      <t>Chart_Data</t>
    </r>
    <r>
      <rPr>
        <sz val="11"/>
        <color theme="1"/>
        <rFont val="Aptos Narrow"/>
        <family val="2"/>
        <scheme val="minor"/>
      </rPr>
      <t xml:space="preserve"> – Helper data used for visualization </t>
    </r>
  </si>
  <si>
    <r>
      <t>Raw_Data</t>
    </r>
    <r>
      <rPr>
        <sz val="11"/>
        <color theme="1"/>
        <rFont val="Aptos Narrow"/>
        <family val="2"/>
        <scheme val="minor"/>
      </rPr>
      <t xml:space="preserve"> – Cleaned data loaded via Power Query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</si>
</sst>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0;&quot;₹&quot;#,##0"/>
  </numFmts>
  <fonts count="7" x14ac:knownFonts="1">
    <font>
      <sz val="11"/>
      <color theme="1"/>
      <name val="Aptos Narrow"/>
      <family val="2"/>
      <scheme val="minor"/>
    </font>
    <font>
      <sz val="11"/>
      <color theme="1"/>
      <name val="Aptos Narrow"/>
      <family val="2"/>
      <scheme val="minor"/>
    </font>
    <font>
      <sz val="26"/>
      <color theme="1"/>
      <name val="Aptos Narrow"/>
      <family val="2"/>
      <scheme val="minor"/>
    </font>
    <font>
      <sz val="16"/>
      <color theme="1"/>
      <name val="Aptos Narrow"/>
      <family val="2"/>
      <scheme val="minor"/>
    </font>
    <font>
      <b/>
      <sz val="11"/>
      <color theme="1"/>
      <name val="Aptos Narrow"/>
      <family val="2"/>
      <scheme val="minor"/>
    </font>
    <font>
      <b/>
      <sz val="18"/>
      <color theme="1"/>
      <name val="Aptos Narrow"/>
      <family val="2"/>
      <scheme val="minor"/>
    </font>
    <font>
      <b/>
      <sz val="13.5"/>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s>
  <borders count="9">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xf numFmtId="0" fontId="0" fillId="0" borderId="0" xfId="0" applyAlignment="1">
      <alignment vertical="center" wrapText="1"/>
    </xf>
    <xf numFmtId="9" fontId="0" fillId="0" borderId="0" xfId="1" applyFont="1"/>
    <xf numFmtId="0" fontId="0" fillId="0" borderId="0" xfId="0" pivotButton="1"/>
    <xf numFmtId="0" fontId="0" fillId="0" borderId="0" xfId="0" applyAlignment="1">
      <alignment horizontal="left"/>
    </xf>
    <xf numFmtId="164" fontId="0" fillId="0" borderId="0" xfId="0" applyNumberFormat="1"/>
    <xf numFmtId="0" fontId="3" fillId="2" borderId="1" xfId="0" applyFont="1" applyFill="1" applyBorder="1"/>
    <xf numFmtId="0" fontId="2" fillId="2" borderId="2" xfId="0" applyFont="1" applyFill="1" applyBorder="1"/>
    <xf numFmtId="0" fontId="3" fillId="3" borderId="3" xfId="0" applyFont="1" applyFill="1" applyBorder="1"/>
    <xf numFmtId="0" fontId="2" fillId="3" borderId="4" xfId="0" applyFont="1" applyFill="1" applyBorder="1"/>
    <xf numFmtId="0" fontId="3" fillId="4" borderId="3" xfId="0" applyFont="1" applyFill="1" applyBorder="1"/>
    <xf numFmtId="0" fontId="2" fillId="4" borderId="4" xfId="0" applyFont="1" applyFill="1" applyBorder="1"/>
    <xf numFmtId="0" fontId="3" fillId="5" borderId="5" xfId="0" applyFont="1" applyFill="1" applyBorder="1"/>
    <xf numFmtId="0" fontId="0" fillId="5" borderId="6" xfId="0" applyFill="1" applyBorder="1"/>
    <xf numFmtId="9" fontId="2" fillId="5" borderId="7" xfId="0" applyNumberFormat="1" applyFont="1" applyFill="1" applyBorder="1"/>
    <xf numFmtId="0" fontId="0" fillId="5" borderId="8" xfId="0" applyFill="1" applyBorder="1"/>
    <xf numFmtId="165" fontId="0" fillId="0" borderId="0" xfId="0" applyNumberFormat="1"/>
    <xf numFmtId="0" fontId="0" fillId="0" borderId="0" xfId="0" applyAlignment="1">
      <alignment horizontal="left" indent="1"/>
    </xf>
    <xf numFmtId="3" fontId="0" fillId="0" borderId="0" xfId="0" applyNumberFormat="1"/>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cellXfs>
  <cellStyles count="2">
    <cellStyle name="Normal" xfId="0" builtinId="0"/>
    <cellStyle name="Percent" xfId="1" builtinId="5"/>
  </cellStyles>
  <dxfs count="8">
    <dxf>
      <font>
        <color rgb="FF006100"/>
      </font>
      <fill>
        <patternFill>
          <bgColor rgb="FFC6EFCE"/>
        </patternFill>
      </fill>
    </dxf>
    <dxf>
      <font>
        <color rgb="FF9C0006"/>
      </font>
      <fill>
        <patternFill>
          <bgColor rgb="FFFFC7CE"/>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&amp; Profit Trend</a:t>
            </a:r>
          </a:p>
          <a:p>
            <a:pPr>
              <a:defRPr/>
            </a:pPr>
            <a:endParaRPr lang="en-IN"/>
          </a:p>
        </c:rich>
      </c:tx>
      <c:layout>
        <c:manualLayout>
          <c:xMode val="edge"/>
          <c:yMode val="edge"/>
          <c:x val="0.41657103774399318"/>
          <c:y val="2.0374911200682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KPI_Calculations!$A$8</c:f>
              <c:strCache>
                <c:ptCount val="1"/>
                <c:pt idx="0">
                  <c:v>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KPI_Calculations!$A$9:$A$22</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B08-41E1-A2E7-D1D82F6CBF3F}"/>
            </c:ext>
          </c:extLst>
        </c:ser>
        <c:ser>
          <c:idx val="1"/>
          <c:order val="1"/>
          <c:tx>
            <c:strRef>
              <c:f>KPI_Calculations!$B$8</c:f>
              <c:strCache>
                <c:ptCount val="1"/>
                <c:pt idx="0">
                  <c:v>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KPI_Calculations!$B$9:$B$22</c:f>
              <c:numCache>
                <c:formatCode>General</c:formatCode>
                <c:ptCount val="14"/>
                <c:pt idx="0">
                  <c:v>180000</c:v>
                </c:pt>
                <c:pt idx="1">
                  <c:v>195000</c:v>
                </c:pt>
                <c:pt idx="2">
                  <c:v>260000</c:v>
                </c:pt>
                <c:pt idx="3">
                  <c:v>310000</c:v>
                </c:pt>
                <c:pt idx="4">
                  <c:v>295000</c:v>
                </c:pt>
                <c:pt idx="5">
                  <c:v>340000</c:v>
                </c:pt>
                <c:pt idx="6">
                  <c:v>360000</c:v>
                </c:pt>
                <c:pt idx="7">
                  <c:v>355000</c:v>
                </c:pt>
                <c:pt idx="8">
                  <c:v>370000</c:v>
                </c:pt>
                <c:pt idx="9">
                  <c:v>390000</c:v>
                </c:pt>
                <c:pt idx="10">
                  <c:v>410000</c:v>
                </c:pt>
                <c:pt idx="11">
                  <c:v>450000</c:v>
                </c:pt>
              </c:numCache>
            </c:numRef>
          </c:val>
          <c:smooth val="0"/>
          <c:extLst>
            <c:ext xmlns:c16="http://schemas.microsoft.com/office/drawing/2014/chart" uri="{C3380CC4-5D6E-409C-BE32-E72D297353CC}">
              <c16:uniqueId val="{00000001-EB08-41E1-A2E7-D1D82F6CBF3F}"/>
            </c:ext>
          </c:extLst>
        </c:ser>
        <c:ser>
          <c:idx val="3"/>
          <c:order val="3"/>
          <c:tx>
            <c:strRef>
              <c:f>KPI_Calculations!$D$8</c:f>
              <c:strCache>
                <c:ptCount val="1"/>
                <c:pt idx="0">
                  <c:v>Profit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KPI_Calculations!$D$9:$D$22</c:f>
              <c:numCache>
                <c:formatCode>General</c:formatCode>
                <c:ptCount val="14"/>
                <c:pt idx="0">
                  <c:v>60000</c:v>
                </c:pt>
                <c:pt idx="1">
                  <c:v>43000</c:v>
                </c:pt>
                <c:pt idx="2">
                  <c:v>65000</c:v>
                </c:pt>
                <c:pt idx="3">
                  <c:v>118000</c:v>
                </c:pt>
                <c:pt idx="4">
                  <c:v>132000</c:v>
                </c:pt>
                <c:pt idx="5">
                  <c:v>105000</c:v>
                </c:pt>
                <c:pt idx="6">
                  <c:v>153000</c:v>
                </c:pt>
                <c:pt idx="7">
                  <c:v>167000</c:v>
                </c:pt>
                <c:pt idx="8">
                  <c:v>146000</c:v>
                </c:pt>
                <c:pt idx="9">
                  <c:v>164000</c:v>
                </c:pt>
                <c:pt idx="10">
                  <c:v>182000</c:v>
                </c:pt>
                <c:pt idx="11">
                  <c:v>180000</c:v>
                </c:pt>
              </c:numCache>
            </c:numRef>
          </c:val>
          <c:smooth val="0"/>
          <c:extLst>
            <c:ext xmlns:c16="http://schemas.microsoft.com/office/drawing/2014/chart" uri="{C3380CC4-5D6E-409C-BE32-E72D297353CC}">
              <c16:uniqueId val="{00000002-EB08-41E1-A2E7-D1D82F6CBF3F}"/>
            </c:ext>
          </c:extLst>
        </c:ser>
        <c:dLbls>
          <c:showLegendKey val="0"/>
          <c:showVal val="0"/>
          <c:showCatName val="0"/>
          <c:showSerName val="0"/>
          <c:showPercent val="0"/>
          <c:showBubbleSize val="0"/>
        </c:dLbls>
        <c:marker val="1"/>
        <c:smooth val="0"/>
        <c:axId val="352887944"/>
        <c:axId val="405430656"/>
        <c:extLst>
          <c:ext xmlns:c15="http://schemas.microsoft.com/office/drawing/2012/chart" uri="{02D57815-91ED-43cb-92C2-25804820EDAC}">
            <c15:filteredLineSeries>
              <c15:ser>
                <c:idx val="2"/>
                <c:order val="2"/>
                <c:tx>
                  <c:strRef>
                    <c:extLst>
                      <c:ext uri="{02D57815-91ED-43cb-92C2-25804820EDAC}">
                        <c15:formulaRef>
                          <c15:sqref>KPI_Calculations!$C$8</c15:sqref>
                        </c15:formulaRef>
                      </c:ext>
                    </c:extLst>
                    <c:strCache>
                      <c:ptCount val="1"/>
                      <c:pt idx="0">
                        <c:v>Expenses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extLst>
                      <c:ext uri="{02D57815-91ED-43cb-92C2-25804820EDAC}">
                        <c15:formulaRef>
                          <c15:sqref>KPI_Calculations!$C$9:$C$22</c15:sqref>
                        </c15:formulaRef>
                      </c:ext>
                    </c:extLst>
                    <c:numCache>
                      <c:formatCode>General</c:formatCode>
                      <c:ptCount val="14"/>
                      <c:pt idx="0">
                        <c:v>-120000</c:v>
                      </c:pt>
                      <c:pt idx="1">
                        <c:v>-152000</c:v>
                      </c:pt>
                      <c:pt idx="2">
                        <c:v>-195000</c:v>
                      </c:pt>
                      <c:pt idx="3">
                        <c:v>-192000</c:v>
                      </c:pt>
                      <c:pt idx="4">
                        <c:v>-163000</c:v>
                      </c:pt>
                      <c:pt idx="5">
                        <c:v>-235000</c:v>
                      </c:pt>
                      <c:pt idx="6">
                        <c:v>-207000</c:v>
                      </c:pt>
                      <c:pt idx="7">
                        <c:v>-188000</c:v>
                      </c:pt>
                      <c:pt idx="8">
                        <c:v>-224000</c:v>
                      </c:pt>
                      <c:pt idx="9">
                        <c:v>-226000</c:v>
                      </c:pt>
                      <c:pt idx="10">
                        <c:v>-228000</c:v>
                      </c:pt>
                      <c:pt idx="11">
                        <c:v>-270000</c:v>
                      </c:pt>
                    </c:numCache>
                  </c:numRef>
                </c:val>
                <c:smooth val="0"/>
                <c:extLst>
                  <c:ext xmlns:c16="http://schemas.microsoft.com/office/drawing/2014/chart" uri="{C3380CC4-5D6E-409C-BE32-E72D297353CC}">
                    <c16:uniqueId val="{00000003-EB08-41E1-A2E7-D1D82F6CBF3F}"/>
                  </c:ext>
                </c:extLst>
              </c15:ser>
            </c15:filteredLineSeries>
          </c:ext>
        </c:extLst>
      </c:lineChart>
      <c:catAx>
        <c:axId val="3528879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30656"/>
        <c:crosses val="autoZero"/>
        <c:auto val="1"/>
        <c:lblAlgn val="ctr"/>
        <c:lblOffset val="100"/>
        <c:noMultiLvlLbl val="0"/>
      </c:catAx>
      <c:valAx>
        <c:axId val="40543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887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[Financial_transaction.xlsx]Pivot_Analysis!PivotTable1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Monthly</a:t>
            </a:r>
            <a:r>
              <a:rPr lang="en-US" baseline="0"/>
              <a:t> Amount</a:t>
            </a:r>
            <a:endParaRPr lang="en-US"/>
          </a:p>
        </c:rich>
      </c:tx>
      <c:layout>
        <c:manualLayout>
          <c:xMode val="edge"/>
          <c:yMode val="edge"/>
          <c:x val="0.32756278798483529"/>
          <c:y val="0.135574553946453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Pivot_Analysis!$B$4:$B$16</c:f>
              <c:numCache>
                <c:formatCode>"₹"\ #,##0.00</c:formatCode>
                <c:ptCount val="12"/>
                <c:pt idx="0">
                  <c:v>60000</c:v>
                </c:pt>
                <c:pt idx="1">
                  <c:v>43000</c:v>
                </c:pt>
                <c:pt idx="2">
                  <c:v>65000</c:v>
                </c:pt>
                <c:pt idx="3">
                  <c:v>118000</c:v>
                </c:pt>
                <c:pt idx="4">
                  <c:v>132000</c:v>
                </c:pt>
                <c:pt idx="5">
                  <c:v>105000</c:v>
                </c:pt>
                <c:pt idx="6">
                  <c:v>153000</c:v>
                </c:pt>
                <c:pt idx="7">
                  <c:v>167000</c:v>
                </c:pt>
                <c:pt idx="8">
                  <c:v>146000</c:v>
                </c:pt>
                <c:pt idx="9">
                  <c:v>164000</c:v>
                </c:pt>
                <c:pt idx="10">
                  <c:v>182000</c:v>
                </c:pt>
                <c:pt idx="11">
                  <c:v>180000</c:v>
                </c:pt>
              </c:numCache>
            </c:numRef>
          </c:val>
          <c:extLst>
            <c:ext xmlns:c16="http://schemas.microsoft.com/office/drawing/2014/chart" uri="{C3380CC4-5D6E-409C-BE32-E72D297353CC}">
              <c16:uniqueId val="{00000000-91E4-4CF7-A103-38DB559E1AB0}"/>
            </c:ext>
          </c:extLst>
        </c:ser>
        <c:dLbls>
          <c:showLegendKey val="0"/>
          <c:showVal val="0"/>
          <c:showCatName val="0"/>
          <c:showSerName val="0"/>
          <c:showPercent val="0"/>
          <c:showBubbleSize val="0"/>
        </c:dLbls>
        <c:gapWidth val="219"/>
        <c:overlap val="-27"/>
        <c:axId val="856355816"/>
        <c:axId val="856347536"/>
      </c:barChart>
      <c:catAx>
        <c:axId val="856355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347536"/>
        <c:crosses val="autoZero"/>
        <c:auto val="1"/>
        <c:lblAlgn val="ctr"/>
        <c:lblOffset val="100"/>
        <c:noMultiLvlLbl val="0"/>
      </c:catAx>
      <c:valAx>
        <c:axId val="856347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355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Department-wise Expenses</a:t>
            </a:r>
          </a:p>
          <a:p>
            <a:pPr>
              <a:defRPr/>
            </a:pPr>
            <a:endParaRPr lang="en-IN"/>
          </a:p>
        </c:rich>
      </c:tx>
      <c:layout>
        <c:manualLayout>
          <c:xMode val="edge"/>
          <c:yMode val="edge"/>
          <c:x val="0.34623846768317834"/>
          <c:y val="5.09905638957760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Chart_Data!$A$2:$A$4</c:f>
              <c:strCache>
                <c:ptCount val="3"/>
                <c:pt idx="0">
                  <c:v>HR</c:v>
                </c:pt>
                <c:pt idx="1">
                  <c:v>IT</c:v>
                </c:pt>
                <c:pt idx="2">
                  <c:v>Marketing</c:v>
                </c:pt>
              </c:strCache>
            </c:strRef>
          </c:cat>
          <c:val>
            <c:numRef>
              <c:f>Chart_Data!$B$2:$B$4</c:f>
              <c:numCache>
                <c:formatCode>General</c:formatCode>
                <c:ptCount val="3"/>
                <c:pt idx="0">
                  <c:v>845000</c:v>
                </c:pt>
                <c:pt idx="1">
                  <c:v>730000</c:v>
                </c:pt>
                <c:pt idx="2">
                  <c:v>825000</c:v>
                </c:pt>
              </c:numCache>
            </c:numRef>
          </c:val>
          <c:extLst>
            <c:ext xmlns:c16="http://schemas.microsoft.com/office/drawing/2014/chart" uri="{C3380CC4-5D6E-409C-BE32-E72D297353CC}">
              <c16:uniqueId val="{00000000-0B02-4EB6-8D90-AD57A8BDBFD9}"/>
            </c:ext>
          </c:extLst>
        </c:ser>
        <c:dLbls>
          <c:showLegendKey val="0"/>
          <c:showVal val="0"/>
          <c:showCatName val="0"/>
          <c:showSerName val="0"/>
          <c:showPercent val="0"/>
          <c:showBubbleSize val="0"/>
        </c:dLbls>
        <c:gapWidth val="219"/>
        <c:overlap val="-27"/>
        <c:axId val="552886496"/>
        <c:axId val="546218528"/>
      </c:barChart>
      <c:catAx>
        <c:axId val="55288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18528"/>
        <c:crosses val="autoZero"/>
        <c:auto val="1"/>
        <c:lblAlgn val="ctr"/>
        <c:lblOffset val="100"/>
        <c:noMultiLvlLbl val="0"/>
      </c:catAx>
      <c:valAx>
        <c:axId val="54621852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8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Target Achievement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856794891641543"/>
          <c:y val="0.17626473161443054"/>
          <c:w val="0.40287467191601051"/>
          <c:h val="0.6714577865266842"/>
        </c:manualLayout>
      </c:layout>
      <c:doughnutChart>
        <c:varyColors val="1"/>
        <c:ser>
          <c:idx val="0"/>
          <c:order val="0"/>
          <c:tx>
            <c:strRef>
              <c:f>KPI_Calculations!$B$28</c:f>
              <c:strCache>
                <c:ptCount val="1"/>
                <c:pt idx="0">
                  <c:v>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E4-4CA0-9B69-CAE0B05DC34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2E4-4CA0-9B69-CAE0B05DC346}"/>
              </c:ext>
            </c:extLst>
          </c:dPt>
          <c:dLbls>
            <c:dLbl>
              <c:idx val="0"/>
              <c:layout>
                <c:manualLayout>
                  <c:x val="7.4999999999999997E-2"/>
                  <c:y val="0.291666666666666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E4-4CA0-9B69-CAE0B05DC346}"/>
                </c:ext>
              </c:extLst>
            </c:dLbl>
            <c:dLbl>
              <c:idx val="1"/>
              <c:layout>
                <c:manualLayout>
                  <c:x val="-0.10555555555555556"/>
                  <c:y val="-0.194444444444444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E4-4CA0-9B69-CAE0B05DC34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KPI_Calculations!$A$29:$A$31</c15:sqref>
                  </c15:fullRef>
                </c:ext>
              </c:extLst>
              <c:f>(KPI_Calculations!$A$29,KPI_Calculations!$A$31)</c:f>
              <c:strCache>
                <c:ptCount val="2"/>
                <c:pt idx="0">
                  <c:v>Actual Revenue</c:v>
                </c:pt>
                <c:pt idx="1">
                  <c:v>Remaining</c:v>
                </c:pt>
              </c:strCache>
            </c:strRef>
          </c:cat>
          <c:val>
            <c:numRef>
              <c:extLst>
                <c:ext xmlns:c15="http://schemas.microsoft.com/office/drawing/2012/chart" uri="{02D57815-91ED-43cb-92C2-25804820EDAC}">
                  <c15:fullRef>
                    <c15:sqref>KPI_Calculations!$B$29:$B$31</c15:sqref>
                  </c15:fullRef>
                </c:ext>
              </c:extLst>
              <c:f>(KPI_Calculations!$B$29,KPI_Calculations!$B$31)</c:f>
              <c:numCache>
                <c:formatCode>#,##0</c:formatCode>
                <c:ptCount val="2"/>
                <c:pt idx="0" formatCode="General">
                  <c:v>3915000</c:v>
                </c:pt>
                <c:pt idx="1">
                  <c:v>85000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A2E4-4CA0-9B69-CAE0B05DC346}"/>
            </c:ext>
          </c:extLst>
        </c:ser>
        <c:dLbls>
          <c:showLegendKey val="0"/>
          <c:showVal val="0"/>
          <c:showCatName val="0"/>
          <c:showSerName val="0"/>
          <c:showPercent val="0"/>
          <c:showBubbleSize val="0"/>
          <c:showLeaderLines val="0"/>
        </c:dLbls>
        <c:firstSliceAng val="270"/>
        <c:holeSize val="7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Revenue to Net Profit Breakdown</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waterfall" uniqueId="{1FEC63F6-599C-4924-9BCD-376E36C62925}">
          <cx:tx>
            <cx:txData>
              <cx:f>_xlchart.v1.1</cx:f>
              <cx:v>Amount</cx:v>
            </cx:txData>
          </cx:tx>
          <cx:dataLabels pos="outEnd">
            <cx:visibility seriesName="0" categoryName="0" value="1"/>
          </cx:dataLabels>
          <cx:dataId val="0"/>
          <cx:layoutPr>
            <cx:subtotals>
              <cx:idx val="0"/>
              <cx:idx val="2"/>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5</xdr:col>
      <xdr:colOff>316230</xdr:colOff>
      <xdr:row>1</xdr:row>
      <xdr:rowOff>173355</xdr:rowOff>
    </xdr:from>
    <xdr:to>
      <xdr:col>8</xdr:col>
      <xdr:colOff>320040</xdr:colOff>
      <xdr:row>16</xdr:row>
      <xdr:rowOff>57150</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E15CD319-3644-12AA-A652-27C85EEE3C7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416040" y="350520"/>
              <a:ext cx="1832610" cy="2598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1</xdr:row>
      <xdr:rowOff>106680</xdr:rowOff>
    </xdr:from>
    <xdr:to>
      <xdr:col>2</xdr:col>
      <xdr:colOff>1983105</xdr:colOff>
      <xdr:row>15</xdr:row>
      <xdr:rowOff>154305</xdr:rowOff>
    </xdr:to>
    <mc:AlternateContent xmlns:mc="http://schemas.openxmlformats.org/markup-compatibility/2006">
      <mc:Choice xmlns:a14="http://schemas.microsoft.com/office/drawing/2010/main" Requires="a14">
        <xdr:graphicFrame macro="">
          <xdr:nvGraphicFramePr>
            <xdr:cNvPr id="6" name="Month 2">
              <a:extLst>
                <a:ext uri="{FF2B5EF4-FFF2-40B4-BE49-F238E27FC236}">
                  <a16:creationId xmlns:a16="http://schemas.microsoft.com/office/drawing/2014/main" id="{24F54227-81EC-4AE2-B742-8C4D5792F2AB}"/>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2057400" y="285750"/>
              <a:ext cx="1811655" cy="25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209549</xdr:colOff>
      <xdr:row>3</xdr:row>
      <xdr:rowOff>64772</xdr:rowOff>
    </xdr:from>
    <xdr:to>
      <xdr:col>7</xdr:col>
      <xdr:colOff>541020</xdr:colOff>
      <xdr:row>20</xdr:row>
      <xdr:rowOff>104775</xdr:rowOff>
    </xdr:to>
    <xdr:graphicFrame macro="">
      <xdr:nvGraphicFramePr>
        <xdr:cNvPr id="3" name="Chart 2">
          <a:extLst>
            <a:ext uri="{FF2B5EF4-FFF2-40B4-BE49-F238E27FC236}">
              <a16:creationId xmlns:a16="http://schemas.microsoft.com/office/drawing/2014/main" id="{5CED2A00-6BFA-4EED-94F2-0D7481E5A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192403</xdr:colOff>
      <xdr:row>20</xdr:row>
      <xdr:rowOff>171450</xdr:rowOff>
    </xdr:from>
    <xdr:to>
      <xdr:col>4</xdr:col>
      <xdr:colOff>80009</xdr:colOff>
      <xdr:row>35</xdr:row>
      <xdr:rowOff>177165</xdr:rowOff>
    </xdr:to>
    <xdr:graphicFrame macro="">
      <xdr:nvGraphicFramePr>
        <xdr:cNvPr id="4" name="Chart 3">
          <a:extLst>
            <a:ext uri="{FF2B5EF4-FFF2-40B4-BE49-F238E27FC236}">
              <a16:creationId xmlns:a16="http://schemas.microsoft.com/office/drawing/2014/main" id="{861A480A-0543-4C8D-B890-16F93455B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125730</xdr:colOff>
      <xdr:row>20</xdr:row>
      <xdr:rowOff>177165</xdr:rowOff>
    </xdr:from>
    <xdr:to>
      <xdr:col>11</xdr:col>
      <xdr:colOff>163830</xdr:colOff>
      <xdr:row>36</xdr:row>
      <xdr:rowOff>34290</xdr:rowOff>
    </xdr:to>
    <xdr:graphicFrame macro="">
      <xdr:nvGraphicFramePr>
        <xdr:cNvPr id="2" name="Chart 1">
          <a:extLst>
            <a:ext uri="{FF2B5EF4-FFF2-40B4-BE49-F238E27FC236}">
              <a16:creationId xmlns:a16="http://schemas.microsoft.com/office/drawing/2014/main" id="{4EC72966-CCB6-4AE4-B050-E18AAD429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188595</xdr:colOff>
      <xdr:row>4</xdr:row>
      <xdr:rowOff>85725</xdr:rowOff>
    </xdr:from>
    <xdr:to>
      <xdr:col>20</xdr:col>
      <xdr:colOff>163830</xdr:colOff>
      <xdr:row>19</xdr:row>
      <xdr:rowOff>43815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5FA31EF-6EF9-4073-9E74-57B4FCA3E4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732895" y="1133475"/>
              <a:ext cx="6071235" cy="26727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243840</xdr:colOff>
      <xdr:row>20</xdr:row>
      <xdr:rowOff>173355</xdr:rowOff>
    </xdr:from>
    <xdr:to>
      <xdr:col>19</xdr:col>
      <xdr:colOff>571500</xdr:colOff>
      <xdr:row>34</xdr:row>
      <xdr:rowOff>142875</xdr:rowOff>
    </xdr:to>
    <xdr:graphicFrame macro="">
      <xdr:nvGraphicFramePr>
        <xdr:cNvPr id="6" name="Chart 5">
          <a:extLst>
            <a:ext uri="{FF2B5EF4-FFF2-40B4-BE49-F238E27FC236}">
              <a16:creationId xmlns:a16="http://schemas.microsoft.com/office/drawing/2014/main" id="{2CC496CD-5AE3-4735-8AD1-040958E55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560070</xdr:colOff>
      <xdr:row>4</xdr:row>
      <xdr:rowOff>11430</xdr:rowOff>
    </xdr:from>
    <xdr:to>
      <xdr:col>10</xdr:col>
      <xdr:colOff>200025</xdr:colOff>
      <xdr:row>16</xdr:row>
      <xdr:rowOff>17145</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821D2E71-DFA4-45E4-9238-70ACD9A5BE8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273665" y="1062990"/>
              <a:ext cx="1472565" cy="2177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0.4025</cdr:x>
      <cdr:y>0.42118</cdr:y>
    </cdr:from>
    <cdr:to>
      <cdr:x>0.60667</cdr:x>
      <cdr:y>0.6191</cdr:y>
    </cdr:to>
    <cdr:sp macro="" textlink="">
      <cdr:nvSpPr>
        <cdr:cNvPr id="2" name="TextBox 1">
          <a:extLst xmlns:a="http://schemas.openxmlformats.org/drawingml/2006/main">
            <a:ext uri="{FF2B5EF4-FFF2-40B4-BE49-F238E27FC236}">
              <a16:creationId xmlns:a16="http://schemas.microsoft.com/office/drawing/2014/main" id="{EA502ADD-DDB5-F0DF-EE36-13468E5DB22C}"/>
            </a:ext>
          </a:extLst>
        </cdr:cNvPr>
        <cdr:cNvSpPr txBox="1"/>
      </cdr:nvSpPr>
      <cdr:spPr>
        <a:xfrm xmlns:a="http://schemas.openxmlformats.org/drawingml/2006/main">
          <a:off x="1840230" y="1155383"/>
          <a:ext cx="933450" cy="542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a:p xmlns:a="http://schemas.openxmlformats.org/drawingml/2006/main">
          <a:endParaRPr lang="en-IN" sz="1100" kern="1200"/>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thi Reddy" refreshedDate="46019.659965393519" createdVersion="8" refreshedVersion="8" minRefreshableVersion="3" recordCount="48" xr:uid="{E8AD9C61-0C96-4D4C-A885-60206F6AF1A0}">
  <cacheSource type="worksheet">
    <worksheetSource name="tbl_finance"/>
  </cacheSource>
  <cacheFields count="7">
    <cacheField name="Date" numFmtId="14">
      <sharedItems containsSemiMixedTypes="0" containsNonDate="0" containsDate="1" containsString="0" minDate="2024-01-05T00:00:00" maxDate="2024-12-22T00:00:00"/>
    </cacheField>
    <cacheField name="Month" numFmtId="0">
      <sharedItems count="12">
        <s v="Jan"/>
        <s v="Feb"/>
        <s v="Mar"/>
        <s v="Apr"/>
        <s v="May"/>
        <s v="Jun"/>
        <s v="Jul"/>
        <s v="Aug"/>
        <s v="Sep"/>
        <s v="Oct"/>
        <s v="Nov"/>
        <s v="Dec"/>
      </sharedItems>
    </cacheField>
    <cacheField name="Department" numFmtId="0">
      <sharedItems count="4">
        <s v="Sales"/>
        <s v="Marketing"/>
        <s v="HR"/>
        <s v="IT"/>
      </sharedItems>
    </cacheField>
    <cacheField name="Category" numFmtId="0">
      <sharedItems count="2">
        <s v="Revenue"/>
        <s v="Expense"/>
      </sharedItems>
    </cacheField>
    <cacheField name="Sub_Category" numFmtId="0">
      <sharedItems/>
    </cacheField>
    <cacheField name="Amount" numFmtId="0">
      <sharedItems containsSemiMixedTypes="0" containsString="0" containsNumber="1" containsInteger="1" minValue="-100000" maxValue="450000"/>
    </cacheField>
    <cacheField name="Type" numFmtId="0">
      <sharedItems/>
    </cacheField>
  </cacheFields>
  <extLst>
    <ext xmlns:x14="http://schemas.microsoft.com/office/spreadsheetml/2009/9/main" uri="{725AE2AE-9491-48be-B2B4-4EB974FC3084}">
      <x14:pivotCacheDefinition pivotCacheId="751597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d v="2024-01-05T00:00:00"/>
    <x v="0"/>
    <x v="0"/>
    <x v="0"/>
    <s v="Product A"/>
    <n v="180000"/>
    <s v="Income"/>
  </r>
  <r>
    <d v="2024-01-10T00:00:00"/>
    <x v="0"/>
    <x v="1"/>
    <x v="1"/>
    <s v="Digital Ads"/>
    <n v="-35000"/>
    <s v="Expense"/>
  </r>
  <r>
    <d v="2024-01-15T00:00:00"/>
    <x v="0"/>
    <x v="2"/>
    <x v="1"/>
    <s v="Salaries"/>
    <n v="-60000"/>
    <s v="Expense"/>
  </r>
  <r>
    <d v="2024-01-20T00:00:00"/>
    <x v="0"/>
    <x v="3"/>
    <x v="1"/>
    <s v="Cloud Services"/>
    <n v="-25000"/>
    <s v="Expense"/>
  </r>
  <r>
    <d v="2024-02-06T00:00:00"/>
    <x v="1"/>
    <x v="0"/>
    <x v="0"/>
    <s v="Product A"/>
    <n v="195000"/>
    <s v="Income"/>
  </r>
  <r>
    <d v="2024-02-11T00:00:00"/>
    <x v="1"/>
    <x v="1"/>
    <x v="1"/>
    <s v="Campaign Launch"/>
    <n v="-50000"/>
    <s v="Expense"/>
  </r>
  <r>
    <d v="2024-02-14T00:00:00"/>
    <x v="1"/>
    <x v="2"/>
    <x v="1"/>
    <s v="Salaries"/>
    <n v="-62000"/>
    <s v="Expense"/>
  </r>
  <r>
    <d v="2024-02-18T00:00:00"/>
    <x v="1"/>
    <x v="3"/>
    <x v="1"/>
    <s v="Cloud Migration"/>
    <n v="-40000"/>
    <s v="Expense"/>
  </r>
  <r>
    <d v="2024-03-04T00:00:00"/>
    <x v="2"/>
    <x v="0"/>
    <x v="0"/>
    <s v="Product B Launch"/>
    <n v="260000"/>
    <s v="Income"/>
  </r>
  <r>
    <d v="2024-03-10T00:00:00"/>
    <x v="2"/>
    <x v="1"/>
    <x v="1"/>
    <s v="Influencer Ads"/>
    <n v="-75000"/>
    <s v="Expense"/>
  </r>
  <r>
    <d v="2024-03-15T00:00:00"/>
    <x v="2"/>
    <x v="2"/>
    <x v="1"/>
    <s v="Salaries"/>
    <n v="-65000"/>
    <s v="Expense"/>
  </r>
  <r>
    <d v="2024-03-22T00:00:00"/>
    <x v="2"/>
    <x v="3"/>
    <x v="1"/>
    <s v="Infrastructure"/>
    <n v="-55000"/>
    <s v="Expense"/>
  </r>
  <r>
    <d v="2024-04-07T00:00:00"/>
    <x v="3"/>
    <x v="0"/>
    <x v="0"/>
    <s v="Product B"/>
    <n v="310000"/>
    <s v="Income"/>
  </r>
  <r>
    <d v="2024-04-12T00:00:00"/>
    <x v="3"/>
    <x v="1"/>
    <x v="1"/>
    <s v="Brand Campaign"/>
    <n v="-60000"/>
    <s v="Expense"/>
  </r>
  <r>
    <d v="2024-04-16T00:00:00"/>
    <x v="3"/>
    <x v="2"/>
    <x v="1"/>
    <s v="Salaries"/>
    <n v="-67000"/>
    <s v="Expense"/>
  </r>
  <r>
    <d v="2024-04-21T00:00:00"/>
    <x v="3"/>
    <x v="3"/>
    <x v="1"/>
    <s v="Cloud Scaling"/>
    <n v="-65000"/>
    <s v="Expense"/>
  </r>
  <r>
    <d v="2024-05-05T00:00:00"/>
    <x v="4"/>
    <x v="0"/>
    <x v="0"/>
    <s v="Product B"/>
    <n v="295000"/>
    <s v="Income"/>
  </r>
  <r>
    <d v="2024-05-10T00:00:00"/>
    <x v="4"/>
    <x v="1"/>
    <x v="1"/>
    <s v="SEO Ads"/>
    <n v="-45000"/>
    <s v="Expense"/>
  </r>
  <r>
    <d v="2024-05-14T00:00:00"/>
    <x v="4"/>
    <x v="2"/>
    <x v="1"/>
    <s v="Salaries"/>
    <n v="-68000"/>
    <s v="Expense"/>
  </r>
  <r>
    <d v="2024-05-19T00:00:00"/>
    <x v="4"/>
    <x v="3"/>
    <x v="1"/>
    <s v="Security Tools"/>
    <n v="-50000"/>
    <s v="Expense"/>
  </r>
  <r>
    <d v="2024-06-06T00:00:00"/>
    <x v="5"/>
    <x v="0"/>
    <x v="0"/>
    <s v="Product C Launch"/>
    <n v="340000"/>
    <s v="Income"/>
  </r>
  <r>
    <d v="2024-06-11T00:00:00"/>
    <x v="5"/>
    <x v="1"/>
    <x v="1"/>
    <s v="Product Promotion"/>
    <n v="-90000"/>
    <s v="Expense"/>
  </r>
  <r>
    <d v="2024-06-15T00:00:00"/>
    <x v="5"/>
    <x v="2"/>
    <x v="1"/>
    <s v="Salaries"/>
    <n v="-70000"/>
    <s v="Expense"/>
  </r>
  <r>
    <d v="2024-06-20T00:00:00"/>
    <x v="5"/>
    <x v="3"/>
    <x v="1"/>
    <s v="Cloud Expansion"/>
    <n v="-75000"/>
    <s v="Expense"/>
  </r>
  <r>
    <d v="2024-07-05T00:00:00"/>
    <x v="6"/>
    <x v="0"/>
    <x v="0"/>
    <s v="Product C"/>
    <n v="360000"/>
    <s v="Income"/>
  </r>
  <r>
    <d v="2024-07-10T00:00:00"/>
    <x v="6"/>
    <x v="1"/>
    <x v="1"/>
    <s v="Retargeting Ads"/>
    <n v="-65000"/>
    <s v="Expense"/>
  </r>
  <r>
    <d v="2024-07-15T00:00:00"/>
    <x v="6"/>
    <x v="2"/>
    <x v="1"/>
    <s v="Salaries"/>
    <n v="-72000"/>
    <s v="Expense"/>
  </r>
  <r>
    <d v="2024-07-21T00:00:00"/>
    <x v="6"/>
    <x v="3"/>
    <x v="1"/>
    <s v="Infrastructure"/>
    <n v="-70000"/>
    <s v="Expense"/>
  </r>
  <r>
    <d v="2024-08-06T00:00:00"/>
    <x v="7"/>
    <x v="0"/>
    <x v="0"/>
    <s v="Product C"/>
    <n v="355000"/>
    <s v="Income"/>
  </r>
  <r>
    <d v="2024-08-11T00:00:00"/>
    <x v="7"/>
    <x v="1"/>
    <x v="1"/>
    <s v="Social Media Ads"/>
    <n v="-60000"/>
    <s v="Expense"/>
  </r>
  <r>
    <d v="2024-08-16T00:00:00"/>
    <x v="7"/>
    <x v="2"/>
    <x v="1"/>
    <s v="Salaries"/>
    <n v="-73000"/>
    <s v="Expense"/>
  </r>
  <r>
    <d v="2024-08-22T00:00:00"/>
    <x v="7"/>
    <x v="3"/>
    <x v="1"/>
    <s v="Monitoring Tools"/>
    <n v="-55000"/>
    <s v="Expense"/>
  </r>
  <r>
    <d v="2024-09-04T00:00:00"/>
    <x v="8"/>
    <x v="0"/>
    <x v="0"/>
    <s v="Product C"/>
    <n v="370000"/>
    <s v="Income"/>
  </r>
  <r>
    <d v="2024-09-09T00:00:00"/>
    <x v="8"/>
    <x v="1"/>
    <x v="1"/>
    <s v="Brand Awareness"/>
    <n v="-70000"/>
    <s v="Expense"/>
  </r>
  <r>
    <d v="2024-09-14T00:00:00"/>
    <x v="8"/>
    <x v="2"/>
    <x v="1"/>
    <s v="Salaries"/>
    <n v="-74000"/>
    <s v="Expense"/>
  </r>
  <r>
    <d v="2024-09-20T00:00:00"/>
    <x v="8"/>
    <x v="3"/>
    <x v="1"/>
    <s v="Server Upgrade"/>
    <n v="-80000"/>
    <s v="Expense"/>
  </r>
  <r>
    <d v="2024-10-05T00:00:00"/>
    <x v="9"/>
    <x v="0"/>
    <x v="0"/>
    <s v="Product C"/>
    <n v="390000"/>
    <s v="Income"/>
  </r>
  <r>
    <d v="2024-10-10T00:00:00"/>
    <x v="9"/>
    <x v="1"/>
    <x v="1"/>
    <s v="Festival Campaign"/>
    <n v="-85000"/>
    <s v="Expense"/>
  </r>
  <r>
    <d v="2024-10-15T00:00:00"/>
    <x v="9"/>
    <x v="2"/>
    <x v="1"/>
    <s v="Salaries"/>
    <n v="-76000"/>
    <s v="Expense"/>
  </r>
  <r>
    <d v="2024-10-21T00:00:00"/>
    <x v="9"/>
    <x v="3"/>
    <x v="1"/>
    <s v="Cloud Optimization"/>
    <n v="-65000"/>
    <s v="Expense"/>
  </r>
  <r>
    <d v="2024-11-06T00:00:00"/>
    <x v="10"/>
    <x v="0"/>
    <x v="0"/>
    <s v="Product C"/>
    <n v="410000"/>
    <s v="Income"/>
  </r>
  <r>
    <d v="2024-11-11T00:00:00"/>
    <x v="10"/>
    <x v="1"/>
    <x v="1"/>
    <s v="Holiday Ads"/>
    <n v="-90000"/>
    <s v="Expense"/>
  </r>
  <r>
    <d v="2024-11-16T00:00:00"/>
    <x v="10"/>
    <x v="2"/>
    <x v="1"/>
    <s v="Salaries"/>
    <n v="-78000"/>
    <s v="Expense"/>
  </r>
  <r>
    <d v="2024-11-22T00:00:00"/>
    <x v="10"/>
    <x v="3"/>
    <x v="1"/>
    <s v="Data Backup"/>
    <n v="-60000"/>
    <s v="Expense"/>
  </r>
  <r>
    <d v="2024-12-05T00:00:00"/>
    <x v="11"/>
    <x v="0"/>
    <x v="0"/>
    <s v="Year-End Sales"/>
    <n v="450000"/>
    <s v="Income"/>
  </r>
  <r>
    <d v="2024-12-10T00:00:00"/>
    <x v="11"/>
    <x v="1"/>
    <x v="1"/>
    <s v="Year-End Campaign"/>
    <n v="-100000"/>
    <s v="Expense"/>
  </r>
  <r>
    <d v="2024-12-15T00:00:00"/>
    <x v="11"/>
    <x v="2"/>
    <x v="1"/>
    <s v="Salaries"/>
    <n v="-80000"/>
    <s v="Expense"/>
  </r>
  <r>
    <d v="2024-12-21T00:00:00"/>
    <x v="11"/>
    <x v="3"/>
    <x v="1"/>
    <s v="System Upgrade"/>
    <n v="-90000"/>
    <s v="Expen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06421-360A-441C-98B9-73CBA7BCC962}"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3:E56" firstHeaderRow="1" firstDataRow="1" firstDataCol="1" rowPageCount="1" colPageCount="1"/>
  <pivotFields count="7">
    <pivotField numFmtId="14" showAll="0"/>
    <pivotField axis="axisRow" showAll="0">
      <items count="13">
        <item x="0"/>
        <item x="1"/>
        <item x="2"/>
        <item x="3"/>
        <item x="4"/>
        <item x="5"/>
        <item x="6"/>
        <item x="7"/>
        <item x="8"/>
        <item x="9"/>
        <item x="10"/>
        <item x="11"/>
        <item t="default"/>
      </items>
    </pivotField>
    <pivotField axis="axisRow" showAll="0">
      <items count="5">
        <item x="2"/>
        <item x="3"/>
        <item x="1"/>
        <item x="0"/>
        <item t="default"/>
      </items>
    </pivotField>
    <pivotField axis="axisPage" showAll="0">
      <items count="3">
        <item x="1"/>
        <item x="0"/>
        <item t="default"/>
      </items>
    </pivotField>
    <pivotField showAll="0"/>
    <pivotField dataField="1" showAll="0"/>
    <pivotField showAll="0"/>
  </pivotFields>
  <rowFields count="2">
    <field x="2"/>
    <field x="1"/>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pageFields count="1">
    <pageField fld="3" hier="-1"/>
  </pageFields>
  <dataFields count="1">
    <dataField name="Sum of Amount" fld="5" baseField="2" baseItem="0" numFmtId="165"/>
  </dataFields>
  <chartFormats count="5">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23BCA7-AC39-4803-96F7-6B60D1DFBB9B}"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rowPageCount="1" colPageCount="1"/>
  <pivotFields count="7">
    <pivotField numFmtId="14" showAll="0"/>
    <pivotField axis="axisRow" showAll="0">
      <items count="13">
        <item x="0"/>
        <item x="1"/>
        <item x="2"/>
        <item x="3"/>
        <item x="4"/>
        <item x="5"/>
        <item x="6"/>
        <item x="7"/>
        <item x="8"/>
        <item x="9"/>
        <item x="10"/>
        <item x="11"/>
        <item t="default"/>
      </items>
    </pivotField>
    <pivotField showAll="0"/>
    <pivotField axis="axisPage" showAll="0">
      <items count="3">
        <item x="1"/>
        <item x="0"/>
        <item t="default"/>
      </items>
    </pivotField>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pageFields count="1">
    <pageField fld="3" hier="-1"/>
  </pageFields>
  <dataFields count="1">
    <dataField name="Sum of Amount" fld="5" baseField="1" baseItem="0" numFmtId="164"/>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145846-61A6-4704-8B61-DBF5D1937D23}" autoFormatId="16" applyNumberFormats="0" applyBorderFormats="0" applyFontFormats="0" applyPatternFormats="0" applyAlignmentFormats="0" applyWidthHeightFormats="0">
  <queryTableRefresh nextId="9">
    <queryTableFields count="7">
      <queryTableField id="1" name="Date" tableColumnId="1"/>
      <queryTableField id="2" name="Month" tableColumnId="2"/>
      <queryTableField id="3" name="Department" tableColumnId="3"/>
      <queryTableField id="4" name="Category" tableColumnId="4"/>
      <queryTableField id="5" name="Sub_Category" tableColumnId="5"/>
      <queryTableField id="6" name="Amount" tableColumnId="6"/>
      <queryTableField id="7" name="Typ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AAC331C-710B-438F-BDDC-533DAE15DC40}" sourceName="Month">
  <pivotTables>
    <pivotTable tabId="4" name="PivotTable1"/>
  </pivotTables>
  <data>
    <tabular pivotCacheId="75159737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79DDEFA-1B42-4716-8C18-BD20AECFAEF0}" sourceName="Department">
  <pivotTables>
    <pivotTable tabId="4" name="PivotTable3"/>
  </pivotTables>
  <data>
    <tabular pivotCacheId="751597375">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02E1D92C-3084-4227-8A5A-E9FCD4389ADD}" cache="Slicer_Month" caption="Month" rowHeight="247650"/>
  <slicer name="Department 1" xr10:uid="{D97B55E3-86A0-41C4-A7A0-873BEE89D752}" cache="Slicer_Department1" caption="Depart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81398651-C743-40E7-B6B9-C179A84B7851}" cache="Slicer_Month" caption="Month" startItem="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7F2F6D-77D9-461E-B6DE-9A8654B68C4A}" name="tbl_finance" displayName="tbl_finance" ref="A1:G49" tableType="queryTable" totalsRowShown="0">
  <autoFilter ref="A1:G49" xr:uid="{827F2F6D-77D9-461E-B6DE-9A8654B68C4A}"/>
  <tableColumns count="7">
    <tableColumn id="1" xr3:uid="{F8BD2718-005D-4825-9813-4FDA907D8C4F}" uniqueName="1" name="Date" queryTableFieldId="1" dataDxfId="2"/>
    <tableColumn id="2" xr3:uid="{C353D79B-849A-49E4-B287-5C2691D7F2DC}" uniqueName="2" name="Month" queryTableFieldId="2" dataDxfId="7"/>
    <tableColumn id="3" xr3:uid="{FC2983BA-7E92-4B5B-BE60-DC2E568D71B0}" uniqueName="3" name="Department" queryTableFieldId="3" dataDxfId="6"/>
    <tableColumn id="4" xr3:uid="{E9294928-8087-4FC1-B031-008C96196322}" uniqueName="4" name="Category" queryTableFieldId="4" dataDxfId="5"/>
    <tableColumn id="5" xr3:uid="{B08F12CF-0F22-4153-BD21-88B847BC535D}" uniqueName="5" name="Sub_Category" queryTableFieldId="5" dataDxfId="4"/>
    <tableColumn id="6" xr3:uid="{70268F0D-6323-4230-80FB-776795874542}" uniqueName="6" name="Amount" queryTableFieldId="6"/>
    <tableColumn id="7" xr3:uid="{7F0AA57F-0D6B-4F9E-A90D-BAE489CCBC21}" uniqueName="7" name="Type" queryTableFieldId="7" dataDxfId="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Custom 7">
      <a:dk1>
        <a:sysClr val="windowText" lastClr="000000"/>
      </a:dk1>
      <a:lt1>
        <a:sysClr val="window" lastClr="FFFFFF"/>
      </a:lt1>
      <a:dk2>
        <a:srgbClr val="4EA72E"/>
      </a:dk2>
      <a:lt2>
        <a:srgbClr val="E8E8E8"/>
      </a:lt2>
      <a:accent1>
        <a:srgbClr val="8ED873"/>
      </a:accent1>
      <a:accent2>
        <a:srgbClr val="E97132"/>
      </a:accent2>
      <a:accent3>
        <a:srgbClr val="229FD8"/>
      </a:accent3>
      <a:accent4>
        <a:srgbClr val="0F9ED5"/>
      </a:accent4>
      <a:accent5>
        <a:srgbClr val="E49EDD"/>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BCA61-6469-40C5-AAD6-68BB33D0A6C0}">
  <dimension ref="A1:G49"/>
  <sheetViews>
    <sheetView workbookViewId="0">
      <selection activeCell="M34" sqref="M34"/>
    </sheetView>
  </sheetViews>
  <sheetFormatPr defaultRowHeight="14.4" x14ac:dyDescent="0.3"/>
  <cols>
    <col min="1" max="1" width="10.33203125" bestFit="1" customWidth="1"/>
    <col min="2" max="2" width="8.77734375" bestFit="1" customWidth="1"/>
    <col min="3" max="3" width="13.77734375" bestFit="1" customWidth="1"/>
    <col min="4" max="4" width="11.109375" bestFit="1" customWidth="1"/>
    <col min="5" max="5" width="18" bestFit="1" customWidth="1"/>
    <col min="6" max="6" width="10" bestFit="1" customWidth="1"/>
    <col min="7" max="7" width="7.88671875" bestFit="1" customWidth="1"/>
  </cols>
  <sheetData>
    <row r="1" spans="1:7" x14ac:dyDescent="0.3">
      <c r="A1" t="s">
        <v>0</v>
      </c>
      <c r="B1" t="s">
        <v>1</v>
      </c>
      <c r="C1" t="s">
        <v>2</v>
      </c>
      <c r="D1" t="s">
        <v>3</v>
      </c>
      <c r="E1" t="s">
        <v>4</v>
      </c>
      <c r="F1" t="s">
        <v>5</v>
      </c>
      <c r="G1" t="s">
        <v>6</v>
      </c>
    </row>
    <row r="2" spans="1:7" x14ac:dyDescent="0.3">
      <c r="A2" s="1">
        <v>45296</v>
      </c>
      <c r="B2" t="s">
        <v>7</v>
      </c>
      <c r="C2" t="s">
        <v>8</v>
      </c>
      <c r="D2" t="s">
        <v>9</v>
      </c>
      <c r="E2" t="s">
        <v>10</v>
      </c>
      <c r="F2">
        <v>180000</v>
      </c>
      <c r="G2" t="s">
        <v>11</v>
      </c>
    </row>
    <row r="3" spans="1:7" x14ac:dyDescent="0.3">
      <c r="A3" s="1">
        <v>45301</v>
      </c>
      <c r="B3" t="s">
        <v>7</v>
      </c>
      <c r="C3" t="s">
        <v>12</v>
      </c>
      <c r="D3" t="s">
        <v>13</v>
      </c>
      <c r="E3" t="s">
        <v>14</v>
      </c>
      <c r="F3">
        <v>-35000</v>
      </c>
      <c r="G3" t="s">
        <v>13</v>
      </c>
    </row>
    <row r="4" spans="1:7" x14ac:dyDescent="0.3">
      <c r="A4" s="1">
        <v>45306</v>
      </c>
      <c r="B4" t="s">
        <v>7</v>
      </c>
      <c r="C4" t="s">
        <v>15</v>
      </c>
      <c r="D4" t="s">
        <v>13</v>
      </c>
      <c r="E4" t="s">
        <v>16</v>
      </c>
      <c r="F4">
        <v>-60000</v>
      </c>
      <c r="G4" t="s">
        <v>13</v>
      </c>
    </row>
    <row r="5" spans="1:7" x14ac:dyDescent="0.3">
      <c r="A5" s="1">
        <v>45311</v>
      </c>
      <c r="B5" t="s">
        <v>7</v>
      </c>
      <c r="C5" t="s">
        <v>17</v>
      </c>
      <c r="D5" t="s">
        <v>13</v>
      </c>
      <c r="E5" t="s">
        <v>18</v>
      </c>
      <c r="F5">
        <v>-25000</v>
      </c>
      <c r="G5" t="s">
        <v>13</v>
      </c>
    </row>
    <row r="6" spans="1:7" x14ac:dyDescent="0.3">
      <c r="A6" s="1">
        <v>45328</v>
      </c>
      <c r="B6" t="s">
        <v>19</v>
      </c>
      <c r="C6" t="s">
        <v>8</v>
      </c>
      <c r="D6" t="s">
        <v>9</v>
      </c>
      <c r="E6" t="s">
        <v>10</v>
      </c>
      <c r="F6">
        <v>195000</v>
      </c>
      <c r="G6" t="s">
        <v>11</v>
      </c>
    </row>
    <row r="7" spans="1:7" x14ac:dyDescent="0.3">
      <c r="A7" s="1">
        <v>45333</v>
      </c>
      <c r="B7" t="s">
        <v>19</v>
      </c>
      <c r="C7" t="s">
        <v>12</v>
      </c>
      <c r="D7" t="s">
        <v>13</v>
      </c>
      <c r="E7" t="s">
        <v>20</v>
      </c>
      <c r="F7">
        <v>-50000</v>
      </c>
      <c r="G7" t="s">
        <v>13</v>
      </c>
    </row>
    <row r="8" spans="1:7" x14ac:dyDescent="0.3">
      <c r="A8" s="1">
        <v>45336</v>
      </c>
      <c r="B8" t="s">
        <v>19</v>
      </c>
      <c r="C8" t="s">
        <v>15</v>
      </c>
      <c r="D8" t="s">
        <v>13</v>
      </c>
      <c r="E8" t="s">
        <v>16</v>
      </c>
      <c r="F8">
        <v>-62000</v>
      </c>
      <c r="G8" t="s">
        <v>13</v>
      </c>
    </row>
    <row r="9" spans="1:7" x14ac:dyDescent="0.3">
      <c r="A9" s="1">
        <v>45340</v>
      </c>
      <c r="B9" t="s">
        <v>19</v>
      </c>
      <c r="C9" t="s">
        <v>17</v>
      </c>
      <c r="D9" t="s">
        <v>13</v>
      </c>
      <c r="E9" t="s">
        <v>21</v>
      </c>
      <c r="F9">
        <v>-40000</v>
      </c>
      <c r="G9" t="s">
        <v>13</v>
      </c>
    </row>
    <row r="10" spans="1:7" x14ac:dyDescent="0.3">
      <c r="A10" s="1">
        <v>45355</v>
      </c>
      <c r="B10" t="s">
        <v>22</v>
      </c>
      <c r="C10" t="s">
        <v>8</v>
      </c>
      <c r="D10" t="s">
        <v>9</v>
      </c>
      <c r="E10" t="s">
        <v>23</v>
      </c>
      <c r="F10">
        <v>260000</v>
      </c>
      <c r="G10" t="s">
        <v>11</v>
      </c>
    </row>
    <row r="11" spans="1:7" x14ac:dyDescent="0.3">
      <c r="A11" s="1">
        <v>45361</v>
      </c>
      <c r="B11" t="s">
        <v>22</v>
      </c>
      <c r="C11" t="s">
        <v>12</v>
      </c>
      <c r="D11" t="s">
        <v>13</v>
      </c>
      <c r="E11" t="s">
        <v>24</v>
      </c>
      <c r="F11">
        <v>-75000</v>
      </c>
      <c r="G11" t="s">
        <v>13</v>
      </c>
    </row>
    <row r="12" spans="1:7" x14ac:dyDescent="0.3">
      <c r="A12" s="1">
        <v>45366</v>
      </c>
      <c r="B12" t="s">
        <v>22</v>
      </c>
      <c r="C12" t="s">
        <v>15</v>
      </c>
      <c r="D12" t="s">
        <v>13</v>
      </c>
      <c r="E12" t="s">
        <v>16</v>
      </c>
      <c r="F12">
        <v>-65000</v>
      </c>
      <c r="G12" t="s">
        <v>13</v>
      </c>
    </row>
    <row r="13" spans="1:7" x14ac:dyDescent="0.3">
      <c r="A13" s="1">
        <v>45373</v>
      </c>
      <c r="B13" t="s">
        <v>22</v>
      </c>
      <c r="C13" t="s">
        <v>17</v>
      </c>
      <c r="D13" t="s">
        <v>13</v>
      </c>
      <c r="E13" t="s">
        <v>25</v>
      </c>
      <c r="F13">
        <v>-55000</v>
      </c>
      <c r="G13" t="s">
        <v>13</v>
      </c>
    </row>
    <row r="14" spans="1:7" x14ac:dyDescent="0.3">
      <c r="A14" s="1">
        <v>45389</v>
      </c>
      <c r="B14" t="s">
        <v>26</v>
      </c>
      <c r="C14" t="s">
        <v>8</v>
      </c>
      <c r="D14" t="s">
        <v>9</v>
      </c>
      <c r="E14" t="s">
        <v>27</v>
      </c>
      <c r="F14">
        <v>310000</v>
      </c>
      <c r="G14" t="s">
        <v>11</v>
      </c>
    </row>
    <row r="15" spans="1:7" x14ac:dyDescent="0.3">
      <c r="A15" s="1">
        <v>45394</v>
      </c>
      <c r="B15" t="s">
        <v>26</v>
      </c>
      <c r="C15" t="s">
        <v>12</v>
      </c>
      <c r="D15" t="s">
        <v>13</v>
      </c>
      <c r="E15" t="s">
        <v>28</v>
      </c>
      <c r="F15">
        <v>-60000</v>
      </c>
      <c r="G15" t="s">
        <v>13</v>
      </c>
    </row>
    <row r="16" spans="1:7" x14ac:dyDescent="0.3">
      <c r="A16" s="1">
        <v>45398</v>
      </c>
      <c r="B16" t="s">
        <v>26</v>
      </c>
      <c r="C16" t="s">
        <v>15</v>
      </c>
      <c r="D16" t="s">
        <v>13</v>
      </c>
      <c r="E16" t="s">
        <v>16</v>
      </c>
      <c r="F16">
        <v>-67000</v>
      </c>
      <c r="G16" t="s">
        <v>13</v>
      </c>
    </row>
    <row r="17" spans="1:7" x14ac:dyDescent="0.3">
      <c r="A17" s="1">
        <v>45403</v>
      </c>
      <c r="B17" t="s">
        <v>26</v>
      </c>
      <c r="C17" t="s">
        <v>17</v>
      </c>
      <c r="D17" t="s">
        <v>13</v>
      </c>
      <c r="E17" t="s">
        <v>29</v>
      </c>
      <c r="F17">
        <v>-65000</v>
      </c>
      <c r="G17" t="s">
        <v>13</v>
      </c>
    </row>
    <row r="18" spans="1:7" x14ac:dyDescent="0.3">
      <c r="A18" s="1">
        <v>45417</v>
      </c>
      <c r="B18" t="s">
        <v>30</v>
      </c>
      <c r="C18" t="s">
        <v>8</v>
      </c>
      <c r="D18" t="s">
        <v>9</v>
      </c>
      <c r="E18" t="s">
        <v>27</v>
      </c>
      <c r="F18">
        <v>295000</v>
      </c>
      <c r="G18" t="s">
        <v>11</v>
      </c>
    </row>
    <row r="19" spans="1:7" x14ac:dyDescent="0.3">
      <c r="A19" s="1">
        <v>45422</v>
      </c>
      <c r="B19" t="s">
        <v>30</v>
      </c>
      <c r="C19" t="s">
        <v>12</v>
      </c>
      <c r="D19" t="s">
        <v>13</v>
      </c>
      <c r="E19" t="s">
        <v>31</v>
      </c>
      <c r="F19">
        <v>-45000</v>
      </c>
      <c r="G19" t="s">
        <v>13</v>
      </c>
    </row>
    <row r="20" spans="1:7" x14ac:dyDescent="0.3">
      <c r="A20" s="1">
        <v>45426</v>
      </c>
      <c r="B20" t="s">
        <v>30</v>
      </c>
      <c r="C20" t="s">
        <v>15</v>
      </c>
      <c r="D20" t="s">
        <v>13</v>
      </c>
      <c r="E20" t="s">
        <v>16</v>
      </c>
      <c r="F20">
        <v>-68000</v>
      </c>
      <c r="G20" t="s">
        <v>13</v>
      </c>
    </row>
    <row r="21" spans="1:7" x14ac:dyDescent="0.3">
      <c r="A21" s="1">
        <v>45431</v>
      </c>
      <c r="B21" t="s">
        <v>30</v>
      </c>
      <c r="C21" t="s">
        <v>17</v>
      </c>
      <c r="D21" t="s">
        <v>13</v>
      </c>
      <c r="E21" t="s">
        <v>32</v>
      </c>
      <c r="F21">
        <v>-50000</v>
      </c>
      <c r="G21" t="s">
        <v>13</v>
      </c>
    </row>
    <row r="22" spans="1:7" x14ac:dyDescent="0.3">
      <c r="A22" s="1">
        <v>45449</v>
      </c>
      <c r="B22" t="s">
        <v>33</v>
      </c>
      <c r="C22" t="s">
        <v>8</v>
      </c>
      <c r="D22" t="s">
        <v>9</v>
      </c>
      <c r="E22" t="s">
        <v>34</v>
      </c>
      <c r="F22">
        <v>340000</v>
      </c>
      <c r="G22" t="s">
        <v>11</v>
      </c>
    </row>
    <row r="23" spans="1:7" x14ac:dyDescent="0.3">
      <c r="A23" s="1">
        <v>45454</v>
      </c>
      <c r="B23" t="s">
        <v>33</v>
      </c>
      <c r="C23" t="s">
        <v>12</v>
      </c>
      <c r="D23" t="s">
        <v>13</v>
      </c>
      <c r="E23" t="s">
        <v>35</v>
      </c>
      <c r="F23">
        <v>-90000</v>
      </c>
      <c r="G23" t="s">
        <v>13</v>
      </c>
    </row>
    <row r="24" spans="1:7" x14ac:dyDescent="0.3">
      <c r="A24" s="1">
        <v>45458</v>
      </c>
      <c r="B24" t="s">
        <v>33</v>
      </c>
      <c r="C24" t="s">
        <v>15</v>
      </c>
      <c r="D24" t="s">
        <v>13</v>
      </c>
      <c r="E24" t="s">
        <v>16</v>
      </c>
      <c r="F24">
        <v>-70000</v>
      </c>
      <c r="G24" t="s">
        <v>13</v>
      </c>
    </row>
    <row r="25" spans="1:7" x14ac:dyDescent="0.3">
      <c r="A25" s="1">
        <v>45463</v>
      </c>
      <c r="B25" t="s">
        <v>33</v>
      </c>
      <c r="C25" t="s">
        <v>17</v>
      </c>
      <c r="D25" t="s">
        <v>13</v>
      </c>
      <c r="E25" t="s">
        <v>36</v>
      </c>
      <c r="F25">
        <v>-75000</v>
      </c>
      <c r="G25" t="s">
        <v>13</v>
      </c>
    </row>
    <row r="26" spans="1:7" x14ac:dyDescent="0.3">
      <c r="A26" s="1">
        <v>45478</v>
      </c>
      <c r="B26" t="s">
        <v>37</v>
      </c>
      <c r="C26" t="s">
        <v>8</v>
      </c>
      <c r="D26" t="s">
        <v>9</v>
      </c>
      <c r="E26" t="s">
        <v>38</v>
      </c>
      <c r="F26">
        <v>360000</v>
      </c>
      <c r="G26" t="s">
        <v>11</v>
      </c>
    </row>
    <row r="27" spans="1:7" x14ac:dyDescent="0.3">
      <c r="A27" s="1">
        <v>45483</v>
      </c>
      <c r="B27" t="s">
        <v>37</v>
      </c>
      <c r="C27" t="s">
        <v>12</v>
      </c>
      <c r="D27" t="s">
        <v>13</v>
      </c>
      <c r="E27" t="s">
        <v>39</v>
      </c>
      <c r="F27">
        <v>-65000</v>
      </c>
      <c r="G27" t="s">
        <v>13</v>
      </c>
    </row>
    <row r="28" spans="1:7" x14ac:dyDescent="0.3">
      <c r="A28" s="1">
        <v>45488</v>
      </c>
      <c r="B28" t="s">
        <v>37</v>
      </c>
      <c r="C28" t="s">
        <v>15</v>
      </c>
      <c r="D28" t="s">
        <v>13</v>
      </c>
      <c r="E28" t="s">
        <v>16</v>
      </c>
      <c r="F28">
        <v>-72000</v>
      </c>
      <c r="G28" t="s">
        <v>13</v>
      </c>
    </row>
    <row r="29" spans="1:7" x14ac:dyDescent="0.3">
      <c r="A29" s="1">
        <v>45494</v>
      </c>
      <c r="B29" t="s">
        <v>37</v>
      </c>
      <c r="C29" t="s">
        <v>17</v>
      </c>
      <c r="D29" t="s">
        <v>13</v>
      </c>
      <c r="E29" t="s">
        <v>25</v>
      </c>
      <c r="F29">
        <v>-70000</v>
      </c>
      <c r="G29" t="s">
        <v>13</v>
      </c>
    </row>
    <row r="30" spans="1:7" x14ac:dyDescent="0.3">
      <c r="A30" s="1">
        <v>45510</v>
      </c>
      <c r="B30" t="s">
        <v>40</v>
      </c>
      <c r="C30" t="s">
        <v>8</v>
      </c>
      <c r="D30" t="s">
        <v>9</v>
      </c>
      <c r="E30" t="s">
        <v>38</v>
      </c>
      <c r="F30">
        <v>355000</v>
      </c>
      <c r="G30" t="s">
        <v>11</v>
      </c>
    </row>
    <row r="31" spans="1:7" x14ac:dyDescent="0.3">
      <c r="A31" s="1">
        <v>45515</v>
      </c>
      <c r="B31" t="s">
        <v>40</v>
      </c>
      <c r="C31" t="s">
        <v>12</v>
      </c>
      <c r="D31" t="s">
        <v>13</v>
      </c>
      <c r="E31" t="s">
        <v>41</v>
      </c>
      <c r="F31">
        <v>-60000</v>
      </c>
      <c r="G31" t="s">
        <v>13</v>
      </c>
    </row>
    <row r="32" spans="1:7" x14ac:dyDescent="0.3">
      <c r="A32" s="1">
        <v>45520</v>
      </c>
      <c r="B32" t="s">
        <v>40</v>
      </c>
      <c r="C32" t="s">
        <v>15</v>
      </c>
      <c r="D32" t="s">
        <v>13</v>
      </c>
      <c r="E32" t="s">
        <v>16</v>
      </c>
      <c r="F32">
        <v>-73000</v>
      </c>
      <c r="G32" t="s">
        <v>13</v>
      </c>
    </row>
    <row r="33" spans="1:7" x14ac:dyDescent="0.3">
      <c r="A33" s="1">
        <v>45526</v>
      </c>
      <c r="B33" t="s">
        <v>40</v>
      </c>
      <c r="C33" t="s">
        <v>17</v>
      </c>
      <c r="D33" t="s">
        <v>13</v>
      </c>
      <c r="E33" t="s">
        <v>42</v>
      </c>
      <c r="F33">
        <v>-55000</v>
      </c>
      <c r="G33" t="s">
        <v>13</v>
      </c>
    </row>
    <row r="34" spans="1:7" x14ac:dyDescent="0.3">
      <c r="A34" s="1">
        <v>45539</v>
      </c>
      <c r="B34" t="s">
        <v>43</v>
      </c>
      <c r="C34" t="s">
        <v>8</v>
      </c>
      <c r="D34" t="s">
        <v>9</v>
      </c>
      <c r="E34" t="s">
        <v>38</v>
      </c>
      <c r="F34">
        <v>370000</v>
      </c>
      <c r="G34" t="s">
        <v>11</v>
      </c>
    </row>
    <row r="35" spans="1:7" x14ac:dyDescent="0.3">
      <c r="A35" s="1">
        <v>45544</v>
      </c>
      <c r="B35" t="s">
        <v>43</v>
      </c>
      <c r="C35" t="s">
        <v>12</v>
      </c>
      <c r="D35" t="s">
        <v>13</v>
      </c>
      <c r="E35" t="s">
        <v>44</v>
      </c>
      <c r="F35">
        <v>-70000</v>
      </c>
      <c r="G35" t="s">
        <v>13</v>
      </c>
    </row>
    <row r="36" spans="1:7" x14ac:dyDescent="0.3">
      <c r="A36" s="1">
        <v>45549</v>
      </c>
      <c r="B36" t="s">
        <v>43</v>
      </c>
      <c r="C36" t="s">
        <v>15</v>
      </c>
      <c r="D36" t="s">
        <v>13</v>
      </c>
      <c r="E36" t="s">
        <v>16</v>
      </c>
      <c r="F36">
        <v>-74000</v>
      </c>
      <c r="G36" t="s">
        <v>13</v>
      </c>
    </row>
    <row r="37" spans="1:7" x14ac:dyDescent="0.3">
      <c r="A37" s="1">
        <v>45555</v>
      </c>
      <c r="B37" t="s">
        <v>43</v>
      </c>
      <c r="C37" t="s">
        <v>17</v>
      </c>
      <c r="D37" t="s">
        <v>13</v>
      </c>
      <c r="E37" t="s">
        <v>45</v>
      </c>
      <c r="F37">
        <v>-80000</v>
      </c>
      <c r="G37" t="s">
        <v>13</v>
      </c>
    </row>
    <row r="38" spans="1:7" x14ac:dyDescent="0.3">
      <c r="A38" s="1">
        <v>45570</v>
      </c>
      <c r="B38" t="s">
        <v>46</v>
      </c>
      <c r="C38" t="s">
        <v>8</v>
      </c>
      <c r="D38" t="s">
        <v>9</v>
      </c>
      <c r="E38" t="s">
        <v>38</v>
      </c>
      <c r="F38">
        <v>390000</v>
      </c>
      <c r="G38" t="s">
        <v>11</v>
      </c>
    </row>
    <row r="39" spans="1:7" x14ac:dyDescent="0.3">
      <c r="A39" s="1">
        <v>45575</v>
      </c>
      <c r="B39" t="s">
        <v>46</v>
      </c>
      <c r="C39" t="s">
        <v>12</v>
      </c>
      <c r="D39" t="s">
        <v>13</v>
      </c>
      <c r="E39" t="s">
        <v>47</v>
      </c>
      <c r="F39">
        <v>-85000</v>
      </c>
      <c r="G39" t="s">
        <v>13</v>
      </c>
    </row>
    <row r="40" spans="1:7" x14ac:dyDescent="0.3">
      <c r="A40" s="1">
        <v>45580</v>
      </c>
      <c r="B40" t="s">
        <v>46</v>
      </c>
      <c r="C40" t="s">
        <v>15</v>
      </c>
      <c r="D40" t="s">
        <v>13</v>
      </c>
      <c r="E40" t="s">
        <v>16</v>
      </c>
      <c r="F40">
        <v>-76000</v>
      </c>
      <c r="G40" t="s">
        <v>13</v>
      </c>
    </row>
    <row r="41" spans="1:7" x14ac:dyDescent="0.3">
      <c r="A41" s="1">
        <v>45586</v>
      </c>
      <c r="B41" t="s">
        <v>46</v>
      </c>
      <c r="C41" t="s">
        <v>17</v>
      </c>
      <c r="D41" t="s">
        <v>13</v>
      </c>
      <c r="E41" t="s">
        <v>48</v>
      </c>
      <c r="F41">
        <v>-65000</v>
      </c>
      <c r="G41" t="s">
        <v>13</v>
      </c>
    </row>
    <row r="42" spans="1:7" x14ac:dyDescent="0.3">
      <c r="A42" s="1">
        <v>45602</v>
      </c>
      <c r="B42" t="s">
        <v>49</v>
      </c>
      <c r="C42" t="s">
        <v>8</v>
      </c>
      <c r="D42" t="s">
        <v>9</v>
      </c>
      <c r="E42" t="s">
        <v>38</v>
      </c>
      <c r="F42">
        <v>410000</v>
      </c>
      <c r="G42" t="s">
        <v>11</v>
      </c>
    </row>
    <row r="43" spans="1:7" x14ac:dyDescent="0.3">
      <c r="A43" s="1">
        <v>45607</v>
      </c>
      <c r="B43" t="s">
        <v>49</v>
      </c>
      <c r="C43" t="s">
        <v>12</v>
      </c>
      <c r="D43" t="s">
        <v>13</v>
      </c>
      <c r="E43" t="s">
        <v>50</v>
      </c>
      <c r="F43">
        <v>-90000</v>
      </c>
      <c r="G43" t="s">
        <v>13</v>
      </c>
    </row>
    <row r="44" spans="1:7" x14ac:dyDescent="0.3">
      <c r="A44" s="1">
        <v>45612</v>
      </c>
      <c r="B44" t="s">
        <v>49</v>
      </c>
      <c r="C44" t="s">
        <v>15</v>
      </c>
      <c r="D44" t="s">
        <v>13</v>
      </c>
      <c r="E44" t="s">
        <v>16</v>
      </c>
      <c r="F44">
        <v>-78000</v>
      </c>
      <c r="G44" t="s">
        <v>13</v>
      </c>
    </row>
    <row r="45" spans="1:7" x14ac:dyDescent="0.3">
      <c r="A45" s="1">
        <v>45618</v>
      </c>
      <c r="B45" t="s">
        <v>49</v>
      </c>
      <c r="C45" t="s">
        <v>17</v>
      </c>
      <c r="D45" t="s">
        <v>13</v>
      </c>
      <c r="E45" t="s">
        <v>51</v>
      </c>
      <c r="F45">
        <v>-60000</v>
      </c>
      <c r="G45" t="s">
        <v>13</v>
      </c>
    </row>
    <row r="46" spans="1:7" x14ac:dyDescent="0.3">
      <c r="A46" s="1">
        <v>45631</v>
      </c>
      <c r="B46" t="s">
        <v>52</v>
      </c>
      <c r="C46" t="s">
        <v>8</v>
      </c>
      <c r="D46" t="s">
        <v>9</v>
      </c>
      <c r="E46" t="s">
        <v>53</v>
      </c>
      <c r="F46">
        <v>450000</v>
      </c>
      <c r="G46" t="s">
        <v>11</v>
      </c>
    </row>
    <row r="47" spans="1:7" x14ac:dyDescent="0.3">
      <c r="A47" s="1">
        <v>45636</v>
      </c>
      <c r="B47" t="s">
        <v>52</v>
      </c>
      <c r="C47" t="s">
        <v>12</v>
      </c>
      <c r="D47" t="s">
        <v>13</v>
      </c>
      <c r="E47" t="s">
        <v>54</v>
      </c>
      <c r="F47">
        <v>-100000</v>
      </c>
      <c r="G47" t="s">
        <v>13</v>
      </c>
    </row>
    <row r="48" spans="1:7" x14ac:dyDescent="0.3">
      <c r="A48" s="1">
        <v>45641</v>
      </c>
      <c r="B48" t="s">
        <v>52</v>
      </c>
      <c r="C48" t="s">
        <v>15</v>
      </c>
      <c r="D48" t="s">
        <v>13</v>
      </c>
      <c r="E48" t="s">
        <v>16</v>
      </c>
      <c r="F48">
        <v>-80000</v>
      </c>
      <c r="G48" t="s">
        <v>13</v>
      </c>
    </row>
    <row r="49" spans="1:7" x14ac:dyDescent="0.3">
      <c r="A49" s="1">
        <v>45647</v>
      </c>
      <c r="B49" t="s">
        <v>52</v>
      </c>
      <c r="C49" t="s">
        <v>17</v>
      </c>
      <c r="D49" t="s">
        <v>13</v>
      </c>
      <c r="E49" t="s">
        <v>55</v>
      </c>
      <c r="F49">
        <v>-90000</v>
      </c>
      <c r="G49"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6A881-6366-4062-B515-A0B36BEA0F29}">
  <dimension ref="A2:D31"/>
  <sheetViews>
    <sheetView workbookViewId="0">
      <selection activeCell="F5" sqref="F5"/>
    </sheetView>
  </sheetViews>
  <sheetFormatPr defaultRowHeight="14.4" x14ac:dyDescent="0.3"/>
  <cols>
    <col min="1" max="1" width="19.88671875" customWidth="1"/>
    <col min="2" max="2" width="19.77734375" customWidth="1"/>
    <col min="3" max="3" width="16.88671875" customWidth="1"/>
    <col min="4" max="4" width="16.33203125" customWidth="1"/>
  </cols>
  <sheetData>
    <row r="2" spans="1:4" x14ac:dyDescent="0.3">
      <c r="A2" t="s">
        <v>56</v>
      </c>
      <c r="B2">
        <f>SUMIFS(tbl_finance[Amount], tbl_finance[Category], "Revenue")</f>
        <v>3915000</v>
      </c>
    </row>
    <row r="3" spans="1:4" x14ac:dyDescent="0.3">
      <c r="A3" t="s">
        <v>57</v>
      </c>
      <c r="B3">
        <f>SUMIFS(tbl_finance[Amount], tbl_finance[Category], "Expense")</f>
        <v>-2400000</v>
      </c>
    </row>
    <row r="4" spans="1:4" x14ac:dyDescent="0.3">
      <c r="A4" s="2" t="s">
        <v>58</v>
      </c>
      <c r="B4">
        <f>B2 + B3</f>
        <v>1515000</v>
      </c>
    </row>
    <row r="5" spans="1:4" x14ac:dyDescent="0.3">
      <c r="A5" t="s">
        <v>59</v>
      </c>
      <c r="B5" s="3">
        <f>B4 / B2</f>
        <v>0.38697318007662834</v>
      </c>
    </row>
    <row r="8" spans="1:4" x14ac:dyDescent="0.3">
      <c r="A8" t="s">
        <v>1</v>
      </c>
      <c r="B8" t="s">
        <v>9</v>
      </c>
      <c r="C8" t="s">
        <v>60</v>
      </c>
      <c r="D8" t="s">
        <v>61</v>
      </c>
    </row>
    <row r="9" spans="1:4" x14ac:dyDescent="0.3">
      <c r="A9" t="s">
        <v>7</v>
      </c>
      <c r="B9">
        <f>SUMIFS(tbl_finance[Amount], tbl_finance[Month], A9, tbl_finance[Category], "Revenue")</f>
        <v>180000</v>
      </c>
      <c r="C9">
        <f>SUMIFS(tbl_finance[Amount], tbl_finance[Month], A9, tbl_finance[Category], "Expense")</f>
        <v>-120000</v>
      </c>
      <c r="D9">
        <f>B9 + C9</f>
        <v>60000</v>
      </c>
    </row>
    <row r="10" spans="1:4" x14ac:dyDescent="0.3">
      <c r="A10" t="s">
        <v>19</v>
      </c>
      <c r="B10">
        <f>SUMIFS(tbl_finance[Amount], tbl_finance[Month], A10, tbl_finance[Category], "Revenue")</f>
        <v>195000</v>
      </c>
      <c r="C10">
        <f>SUMIFS(tbl_finance[Amount], tbl_finance[Month], A10, tbl_finance[Category], "Expense")</f>
        <v>-152000</v>
      </c>
      <c r="D10">
        <f t="shared" ref="D10:D20" si="0">B10 + C10</f>
        <v>43000</v>
      </c>
    </row>
    <row r="11" spans="1:4" x14ac:dyDescent="0.3">
      <c r="A11" t="s">
        <v>22</v>
      </c>
      <c r="B11">
        <f>SUMIFS(tbl_finance[Amount], tbl_finance[Month], A11, tbl_finance[Category], "Revenue")</f>
        <v>260000</v>
      </c>
      <c r="C11">
        <f>SUMIFS(tbl_finance[Amount], tbl_finance[Month], A11, tbl_finance[Category], "Expense")</f>
        <v>-195000</v>
      </c>
      <c r="D11">
        <f t="shared" si="0"/>
        <v>65000</v>
      </c>
    </row>
    <row r="12" spans="1:4" x14ac:dyDescent="0.3">
      <c r="A12" t="s">
        <v>26</v>
      </c>
      <c r="B12">
        <f>SUMIFS(tbl_finance[Amount], tbl_finance[Month], A12, tbl_finance[Category], "Revenue")</f>
        <v>310000</v>
      </c>
      <c r="C12">
        <f>SUMIFS(tbl_finance[Amount], tbl_finance[Month], A12, tbl_finance[Category], "Expense")</f>
        <v>-192000</v>
      </c>
      <c r="D12">
        <f t="shared" si="0"/>
        <v>118000</v>
      </c>
    </row>
    <row r="13" spans="1:4" x14ac:dyDescent="0.3">
      <c r="A13" t="s">
        <v>30</v>
      </c>
      <c r="B13">
        <f>SUMIFS(tbl_finance[Amount], tbl_finance[Month], A13, tbl_finance[Category], "Revenue")</f>
        <v>295000</v>
      </c>
      <c r="C13">
        <f>SUMIFS(tbl_finance[Amount], tbl_finance[Month], A13, tbl_finance[Category], "Expense")</f>
        <v>-163000</v>
      </c>
      <c r="D13">
        <f t="shared" si="0"/>
        <v>132000</v>
      </c>
    </row>
    <row r="14" spans="1:4" x14ac:dyDescent="0.3">
      <c r="A14" t="s">
        <v>33</v>
      </c>
      <c r="B14">
        <f>SUMIFS(tbl_finance[Amount], tbl_finance[Month], A14, tbl_finance[Category], "Revenue")</f>
        <v>340000</v>
      </c>
      <c r="C14">
        <f>SUMIFS(tbl_finance[Amount], tbl_finance[Month], A14, tbl_finance[Category], "Expense")</f>
        <v>-235000</v>
      </c>
      <c r="D14">
        <f t="shared" si="0"/>
        <v>105000</v>
      </c>
    </row>
    <row r="15" spans="1:4" x14ac:dyDescent="0.3">
      <c r="A15" t="s">
        <v>37</v>
      </c>
      <c r="B15">
        <f>SUMIFS(tbl_finance[Amount], tbl_finance[Month], A15, tbl_finance[Category], "Revenue")</f>
        <v>360000</v>
      </c>
      <c r="C15">
        <f>SUMIFS(tbl_finance[Amount], tbl_finance[Month], A15, tbl_finance[Category], "Expense")</f>
        <v>-207000</v>
      </c>
      <c r="D15">
        <f t="shared" si="0"/>
        <v>153000</v>
      </c>
    </row>
    <row r="16" spans="1:4" x14ac:dyDescent="0.3">
      <c r="A16" t="s">
        <v>40</v>
      </c>
      <c r="B16">
        <f>SUMIFS(tbl_finance[Amount], tbl_finance[Month], A16, tbl_finance[Category], "Revenue")</f>
        <v>355000</v>
      </c>
      <c r="C16">
        <f>SUMIFS(tbl_finance[Amount], tbl_finance[Month], A16, tbl_finance[Category], "Expense")</f>
        <v>-188000</v>
      </c>
      <c r="D16">
        <f t="shared" si="0"/>
        <v>167000</v>
      </c>
    </row>
    <row r="17" spans="1:4" x14ac:dyDescent="0.3">
      <c r="A17" t="s">
        <v>43</v>
      </c>
      <c r="B17">
        <f>SUMIFS(tbl_finance[Amount], tbl_finance[Month], A17, tbl_finance[Category], "Revenue")</f>
        <v>370000</v>
      </c>
      <c r="C17">
        <f>SUMIFS(tbl_finance[Amount], tbl_finance[Month], A17, tbl_finance[Category], "Expense")</f>
        <v>-224000</v>
      </c>
      <c r="D17">
        <f t="shared" si="0"/>
        <v>146000</v>
      </c>
    </row>
    <row r="18" spans="1:4" x14ac:dyDescent="0.3">
      <c r="A18" t="s">
        <v>46</v>
      </c>
      <c r="B18">
        <f>SUMIFS(tbl_finance[Amount], tbl_finance[Month], A18, tbl_finance[Category], "Revenue")</f>
        <v>390000</v>
      </c>
      <c r="C18">
        <f>SUMIFS(tbl_finance[Amount], tbl_finance[Month], A18, tbl_finance[Category], "Expense")</f>
        <v>-226000</v>
      </c>
      <c r="D18">
        <f t="shared" si="0"/>
        <v>164000</v>
      </c>
    </row>
    <row r="19" spans="1:4" x14ac:dyDescent="0.3">
      <c r="A19" t="s">
        <v>49</v>
      </c>
      <c r="B19">
        <f>SUMIFS(tbl_finance[Amount], tbl_finance[Month], A19, tbl_finance[Category], "Revenue")</f>
        <v>410000</v>
      </c>
      <c r="C19">
        <f>SUMIFS(tbl_finance[Amount], tbl_finance[Month], A19, tbl_finance[Category], "Expense")</f>
        <v>-228000</v>
      </c>
      <c r="D19">
        <f t="shared" si="0"/>
        <v>182000</v>
      </c>
    </row>
    <row r="20" spans="1:4" x14ac:dyDescent="0.3">
      <c r="A20" t="s">
        <v>52</v>
      </c>
      <c r="B20">
        <f>SUMIFS(tbl_finance[Amount], tbl_finance[Month], A20, tbl_finance[Category], "Revenue")</f>
        <v>450000</v>
      </c>
      <c r="C20">
        <f>SUMIFS(tbl_finance[Amount], tbl_finance[Month], A20, tbl_finance[Category], "Expense")</f>
        <v>-270000</v>
      </c>
      <c r="D20">
        <f t="shared" si="0"/>
        <v>180000</v>
      </c>
    </row>
    <row r="23" spans="1:4" x14ac:dyDescent="0.3">
      <c r="A23" t="s">
        <v>67</v>
      </c>
      <c r="B23" t="s">
        <v>5</v>
      </c>
    </row>
    <row r="24" spans="1:4" x14ac:dyDescent="0.3">
      <c r="A24" t="s">
        <v>9</v>
      </c>
      <c r="B24">
        <f>B2</f>
        <v>3915000</v>
      </c>
    </row>
    <row r="25" spans="1:4" x14ac:dyDescent="0.3">
      <c r="A25" t="s">
        <v>60</v>
      </c>
      <c r="B25">
        <f>B3</f>
        <v>-2400000</v>
      </c>
    </row>
    <row r="26" spans="1:4" x14ac:dyDescent="0.3">
      <c r="A26" t="s">
        <v>58</v>
      </c>
      <c r="B26">
        <f>B4</f>
        <v>1515000</v>
      </c>
    </row>
    <row r="28" spans="1:4" x14ac:dyDescent="0.3">
      <c r="A28" t="s">
        <v>67</v>
      </c>
      <c r="B28" t="s">
        <v>68</v>
      </c>
    </row>
    <row r="29" spans="1:4" x14ac:dyDescent="0.3">
      <c r="A29" t="s">
        <v>69</v>
      </c>
      <c r="B29">
        <f>B2</f>
        <v>3915000</v>
      </c>
    </row>
    <row r="30" spans="1:4" x14ac:dyDescent="0.3">
      <c r="A30" t="s">
        <v>70</v>
      </c>
      <c r="B30" s="19">
        <v>4000000</v>
      </c>
    </row>
    <row r="31" spans="1:4" x14ac:dyDescent="0.3">
      <c r="A31" t="s">
        <v>71</v>
      </c>
      <c r="B31" s="19">
        <f>B30-B29</f>
        <v>85000</v>
      </c>
    </row>
  </sheetData>
  <conditionalFormatting sqref="B4">
    <cfRule type="cellIs" dxfId="1" priority="1" operator="lessThan">
      <formula>0</formula>
    </cfRule>
    <cfRule type="cellIs" dxfId="0" priority="2"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28AD0-3953-48E1-A6FA-3E912B94F6DF}">
  <dimension ref="A1:J56"/>
  <sheetViews>
    <sheetView workbookViewId="0">
      <selection activeCell="J15" sqref="J15"/>
    </sheetView>
  </sheetViews>
  <sheetFormatPr defaultRowHeight="14.4" x14ac:dyDescent="0.3"/>
  <cols>
    <col min="1" max="1" width="13" bestFit="1" customWidth="1"/>
    <col min="2" max="2" width="14.44140625" bestFit="1" customWidth="1"/>
    <col min="3" max="3" width="33.88671875" customWidth="1"/>
    <col min="4" max="4" width="13" bestFit="1" customWidth="1"/>
    <col min="5" max="5" width="14.44140625" bestFit="1" customWidth="1"/>
  </cols>
  <sheetData>
    <row r="1" spans="1:10" x14ac:dyDescent="0.3">
      <c r="A1" s="4" t="s">
        <v>3</v>
      </c>
      <c r="B1" t="s">
        <v>65</v>
      </c>
      <c r="D1" s="4" t="s">
        <v>3</v>
      </c>
      <c r="E1" t="s">
        <v>65</v>
      </c>
    </row>
    <row r="3" spans="1:10" x14ac:dyDescent="0.3">
      <c r="A3" s="4" t="s">
        <v>62</v>
      </c>
      <c r="B3" t="s">
        <v>64</v>
      </c>
      <c r="D3" s="4" t="s">
        <v>62</v>
      </c>
      <c r="E3" t="s">
        <v>64</v>
      </c>
    </row>
    <row r="4" spans="1:10" x14ac:dyDescent="0.3">
      <c r="A4" s="5" t="s">
        <v>7</v>
      </c>
      <c r="B4" s="6">
        <v>60000</v>
      </c>
      <c r="D4" s="5" t="s">
        <v>15</v>
      </c>
      <c r="E4" s="17">
        <v>-845000</v>
      </c>
    </row>
    <row r="5" spans="1:10" x14ac:dyDescent="0.3">
      <c r="A5" s="5" t="s">
        <v>19</v>
      </c>
      <c r="B5" s="6">
        <v>43000</v>
      </c>
      <c r="D5" s="18" t="s">
        <v>7</v>
      </c>
      <c r="E5" s="17">
        <v>-60000</v>
      </c>
    </row>
    <row r="6" spans="1:10" x14ac:dyDescent="0.3">
      <c r="A6" s="5" t="s">
        <v>22</v>
      </c>
      <c r="B6" s="6">
        <v>65000</v>
      </c>
      <c r="D6" s="18" t="s">
        <v>19</v>
      </c>
      <c r="E6" s="17">
        <v>-62000</v>
      </c>
    </row>
    <row r="7" spans="1:10" x14ac:dyDescent="0.3">
      <c r="A7" s="5" t="s">
        <v>26</v>
      </c>
      <c r="B7" s="6">
        <v>118000</v>
      </c>
      <c r="D7" s="18" t="s">
        <v>22</v>
      </c>
      <c r="E7" s="17">
        <v>-65000</v>
      </c>
    </row>
    <row r="8" spans="1:10" x14ac:dyDescent="0.3">
      <c r="A8" s="5" t="s">
        <v>30</v>
      </c>
      <c r="B8" s="6">
        <v>132000</v>
      </c>
      <c r="D8" s="18" t="s">
        <v>26</v>
      </c>
      <c r="E8" s="17">
        <v>-67000</v>
      </c>
    </row>
    <row r="9" spans="1:10" x14ac:dyDescent="0.3">
      <c r="A9" s="5" t="s">
        <v>33</v>
      </c>
      <c r="B9" s="6">
        <v>105000</v>
      </c>
      <c r="D9" s="18" t="s">
        <v>30</v>
      </c>
      <c r="E9" s="17">
        <v>-68000</v>
      </c>
    </row>
    <row r="10" spans="1:10" x14ac:dyDescent="0.3">
      <c r="A10" s="5" t="s">
        <v>37</v>
      </c>
      <c r="B10" s="6">
        <v>153000</v>
      </c>
      <c r="D10" s="18" t="s">
        <v>33</v>
      </c>
      <c r="E10" s="17">
        <v>-70000</v>
      </c>
    </row>
    <row r="11" spans="1:10" x14ac:dyDescent="0.3">
      <c r="A11" s="5" t="s">
        <v>40</v>
      </c>
      <c r="B11" s="6">
        <v>167000</v>
      </c>
      <c r="D11" s="18" t="s">
        <v>37</v>
      </c>
      <c r="E11" s="17">
        <v>-72000</v>
      </c>
      <c r="J11" t="s">
        <v>72</v>
      </c>
    </row>
    <row r="12" spans="1:10" x14ac:dyDescent="0.3">
      <c r="A12" s="5" t="s">
        <v>43</v>
      </c>
      <c r="B12" s="6">
        <v>146000</v>
      </c>
      <c r="D12" s="18" t="s">
        <v>40</v>
      </c>
      <c r="E12" s="17">
        <v>-73000</v>
      </c>
    </row>
    <row r="13" spans="1:10" x14ac:dyDescent="0.3">
      <c r="A13" s="5" t="s">
        <v>46</v>
      </c>
      <c r="B13" s="6">
        <v>164000</v>
      </c>
      <c r="D13" s="18" t="s">
        <v>43</v>
      </c>
      <c r="E13" s="17">
        <v>-74000</v>
      </c>
    </row>
    <row r="14" spans="1:10" x14ac:dyDescent="0.3">
      <c r="A14" s="5" t="s">
        <v>49</v>
      </c>
      <c r="B14" s="6">
        <v>182000</v>
      </c>
      <c r="D14" s="18" t="s">
        <v>46</v>
      </c>
      <c r="E14" s="17">
        <v>-76000</v>
      </c>
    </row>
    <row r="15" spans="1:10" x14ac:dyDescent="0.3">
      <c r="A15" s="5" t="s">
        <v>52</v>
      </c>
      <c r="B15" s="6">
        <v>180000</v>
      </c>
      <c r="D15" s="18" t="s">
        <v>49</v>
      </c>
      <c r="E15" s="17">
        <v>-78000</v>
      </c>
    </row>
    <row r="16" spans="1:10" x14ac:dyDescent="0.3">
      <c r="A16" s="5" t="s">
        <v>63</v>
      </c>
      <c r="B16" s="6">
        <v>1515000</v>
      </c>
      <c r="D16" s="18" t="s">
        <v>52</v>
      </c>
      <c r="E16" s="17">
        <v>-80000</v>
      </c>
    </row>
    <row r="17" spans="4:5" x14ac:dyDescent="0.3">
      <c r="D17" s="5" t="s">
        <v>17</v>
      </c>
      <c r="E17" s="17">
        <v>-730000</v>
      </c>
    </row>
    <row r="18" spans="4:5" x14ac:dyDescent="0.3">
      <c r="D18" s="18" t="s">
        <v>7</v>
      </c>
      <c r="E18" s="17">
        <v>-25000</v>
      </c>
    </row>
    <row r="19" spans="4:5" x14ac:dyDescent="0.3">
      <c r="D19" s="18" t="s">
        <v>19</v>
      </c>
      <c r="E19" s="17">
        <v>-40000</v>
      </c>
    </row>
    <row r="20" spans="4:5" x14ac:dyDescent="0.3">
      <c r="D20" s="18" t="s">
        <v>22</v>
      </c>
      <c r="E20" s="17">
        <v>-55000</v>
      </c>
    </row>
    <row r="21" spans="4:5" x14ac:dyDescent="0.3">
      <c r="D21" s="18" t="s">
        <v>26</v>
      </c>
      <c r="E21" s="17">
        <v>-65000</v>
      </c>
    </row>
    <row r="22" spans="4:5" x14ac:dyDescent="0.3">
      <c r="D22" s="18" t="s">
        <v>30</v>
      </c>
      <c r="E22" s="17">
        <v>-50000</v>
      </c>
    </row>
    <row r="23" spans="4:5" x14ac:dyDescent="0.3">
      <c r="D23" s="18" t="s">
        <v>33</v>
      </c>
      <c r="E23" s="17">
        <v>-75000</v>
      </c>
    </row>
    <row r="24" spans="4:5" x14ac:dyDescent="0.3">
      <c r="D24" s="18" t="s">
        <v>37</v>
      </c>
      <c r="E24" s="17">
        <v>-70000</v>
      </c>
    </row>
    <row r="25" spans="4:5" x14ac:dyDescent="0.3">
      <c r="D25" s="18" t="s">
        <v>40</v>
      </c>
      <c r="E25" s="17">
        <v>-55000</v>
      </c>
    </row>
    <row r="26" spans="4:5" x14ac:dyDescent="0.3">
      <c r="D26" s="18" t="s">
        <v>43</v>
      </c>
      <c r="E26" s="17">
        <v>-80000</v>
      </c>
    </row>
    <row r="27" spans="4:5" x14ac:dyDescent="0.3">
      <c r="D27" s="18" t="s">
        <v>46</v>
      </c>
      <c r="E27" s="17">
        <v>-65000</v>
      </c>
    </row>
    <row r="28" spans="4:5" x14ac:dyDescent="0.3">
      <c r="D28" s="18" t="s">
        <v>49</v>
      </c>
      <c r="E28" s="17">
        <v>-60000</v>
      </c>
    </row>
    <row r="29" spans="4:5" x14ac:dyDescent="0.3">
      <c r="D29" s="18" t="s">
        <v>52</v>
      </c>
      <c r="E29" s="17">
        <v>-90000</v>
      </c>
    </row>
    <row r="30" spans="4:5" x14ac:dyDescent="0.3">
      <c r="D30" s="5" t="s">
        <v>12</v>
      </c>
      <c r="E30" s="17">
        <v>-825000</v>
      </c>
    </row>
    <row r="31" spans="4:5" x14ac:dyDescent="0.3">
      <c r="D31" s="18" t="s">
        <v>7</v>
      </c>
      <c r="E31" s="17">
        <v>-35000</v>
      </c>
    </row>
    <row r="32" spans="4:5" x14ac:dyDescent="0.3">
      <c r="D32" s="18" t="s">
        <v>19</v>
      </c>
      <c r="E32" s="17">
        <v>-50000</v>
      </c>
    </row>
    <row r="33" spans="4:5" x14ac:dyDescent="0.3">
      <c r="D33" s="18" t="s">
        <v>22</v>
      </c>
      <c r="E33" s="17">
        <v>-75000</v>
      </c>
    </row>
    <row r="34" spans="4:5" x14ac:dyDescent="0.3">
      <c r="D34" s="18" t="s">
        <v>26</v>
      </c>
      <c r="E34" s="17">
        <v>-60000</v>
      </c>
    </row>
    <row r="35" spans="4:5" x14ac:dyDescent="0.3">
      <c r="D35" s="18" t="s">
        <v>30</v>
      </c>
      <c r="E35" s="17">
        <v>-45000</v>
      </c>
    </row>
    <row r="36" spans="4:5" x14ac:dyDescent="0.3">
      <c r="D36" s="18" t="s">
        <v>33</v>
      </c>
      <c r="E36" s="17">
        <v>-90000</v>
      </c>
    </row>
    <row r="37" spans="4:5" x14ac:dyDescent="0.3">
      <c r="D37" s="18" t="s">
        <v>37</v>
      </c>
      <c r="E37" s="17">
        <v>-65000</v>
      </c>
    </row>
    <row r="38" spans="4:5" x14ac:dyDescent="0.3">
      <c r="D38" s="18" t="s">
        <v>40</v>
      </c>
      <c r="E38" s="17">
        <v>-60000</v>
      </c>
    </row>
    <row r="39" spans="4:5" x14ac:dyDescent="0.3">
      <c r="D39" s="18" t="s">
        <v>43</v>
      </c>
      <c r="E39" s="17">
        <v>-70000</v>
      </c>
    </row>
    <row r="40" spans="4:5" x14ac:dyDescent="0.3">
      <c r="D40" s="18" t="s">
        <v>46</v>
      </c>
      <c r="E40" s="17">
        <v>-85000</v>
      </c>
    </row>
    <row r="41" spans="4:5" x14ac:dyDescent="0.3">
      <c r="D41" s="18" t="s">
        <v>49</v>
      </c>
      <c r="E41" s="17">
        <v>-90000</v>
      </c>
    </row>
    <row r="42" spans="4:5" x14ac:dyDescent="0.3">
      <c r="D42" s="18" t="s">
        <v>52</v>
      </c>
      <c r="E42" s="17">
        <v>-100000</v>
      </c>
    </row>
    <row r="43" spans="4:5" x14ac:dyDescent="0.3">
      <c r="D43" s="5" t="s">
        <v>8</v>
      </c>
      <c r="E43" s="17">
        <v>3915000</v>
      </c>
    </row>
    <row r="44" spans="4:5" x14ac:dyDescent="0.3">
      <c r="D44" s="18" t="s">
        <v>7</v>
      </c>
      <c r="E44" s="17">
        <v>180000</v>
      </c>
    </row>
    <row r="45" spans="4:5" x14ac:dyDescent="0.3">
      <c r="D45" s="18" t="s">
        <v>19</v>
      </c>
      <c r="E45" s="17">
        <v>195000</v>
      </c>
    </row>
    <row r="46" spans="4:5" x14ac:dyDescent="0.3">
      <c r="D46" s="18" t="s">
        <v>22</v>
      </c>
      <c r="E46" s="17">
        <v>260000</v>
      </c>
    </row>
    <row r="47" spans="4:5" x14ac:dyDescent="0.3">
      <c r="D47" s="18" t="s">
        <v>26</v>
      </c>
      <c r="E47" s="17">
        <v>310000</v>
      </c>
    </row>
    <row r="48" spans="4:5" x14ac:dyDescent="0.3">
      <c r="D48" s="18" t="s">
        <v>30</v>
      </c>
      <c r="E48" s="17">
        <v>295000</v>
      </c>
    </row>
    <row r="49" spans="4:5" x14ac:dyDescent="0.3">
      <c r="D49" s="18" t="s">
        <v>33</v>
      </c>
      <c r="E49" s="17">
        <v>340000</v>
      </c>
    </row>
    <row r="50" spans="4:5" x14ac:dyDescent="0.3">
      <c r="D50" s="18" t="s">
        <v>37</v>
      </c>
      <c r="E50" s="17">
        <v>360000</v>
      </c>
    </row>
    <row r="51" spans="4:5" x14ac:dyDescent="0.3">
      <c r="D51" s="18" t="s">
        <v>40</v>
      </c>
      <c r="E51" s="17">
        <v>355000</v>
      </c>
    </row>
    <row r="52" spans="4:5" x14ac:dyDescent="0.3">
      <c r="D52" s="18" t="s">
        <v>43</v>
      </c>
      <c r="E52" s="17">
        <v>370000</v>
      </c>
    </row>
    <row r="53" spans="4:5" x14ac:dyDescent="0.3">
      <c r="D53" s="18" t="s">
        <v>46</v>
      </c>
      <c r="E53" s="17">
        <v>390000</v>
      </c>
    </row>
    <row r="54" spans="4:5" x14ac:dyDescent="0.3">
      <c r="D54" s="18" t="s">
        <v>49</v>
      </c>
      <c r="E54" s="17">
        <v>410000</v>
      </c>
    </row>
    <row r="55" spans="4:5" x14ac:dyDescent="0.3">
      <c r="D55" s="18" t="s">
        <v>52</v>
      </c>
      <c r="E55" s="17">
        <v>450000</v>
      </c>
    </row>
    <row r="56" spans="4:5" x14ac:dyDescent="0.3">
      <c r="D56" s="5" t="s">
        <v>63</v>
      </c>
      <c r="E56" s="17">
        <v>1515000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E5A-5BAE-4063-89ED-FC0A0DC93E77}">
  <dimension ref="B1:F3"/>
  <sheetViews>
    <sheetView tabSelected="1" workbookViewId="0">
      <selection activeCell="L2" sqref="L2"/>
    </sheetView>
  </sheetViews>
  <sheetFormatPr defaultRowHeight="14.4" x14ac:dyDescent="0.3"/>
  <cols>
    <col min="1" max="1" width="16.21875" customWidth="1"/>
    <col min="2" max="2" width="23.5546875" customWidth="1"/>
    <col min="3" max="3" width="27.21875" customWidth="1"/>
    <col min="4" max="4" width="27.6640625" customWidth="1"/>
    <col min="5" max="5" width="29.21875" customWidth="1"/>
  </cols>
  <sheetData>
    <row r="1" spans="2:6" ht="13.8" customHeight="1" x14ac:dyDescent="0.3"/>
    <row r="2" spans="2:6" ht="21" x14ac:dyDescent="0.4">
      <c r="B2" s="7" t="s">
        <v>56</v>
      </c>
      <c r="C2" s="9" t="s">
        <v>57</v>
      </c>
      <c r="D2" s="11" t="s">
        <v>58</v>
      </c>
      <c r="E2" s="13" t="s">
        <v>66</v>
      </c>
      <c r="F2" s="14"/>
    </row>
    <row r="3" spans="2:6" ht="33.6" x14ac:dyDescent="0.65">
      <c r="B3" s="8">
        <f>KPI_Calculations!B2</f>
        <v>3915000</v>
      </c>
      <c r="C3" s="10">
        <f>KPI_Calculations!B3</f>
        <v>-2400000</v>
      </c>
      <c r="D3" s="12">
        <f>KPI_Calculations!B4</f>
        <v>1515000</v>
      </c>
      <c r="E3" s="15">
        <f>KPI_Calculations!B5</f>
        <v>0.38697318007662834</v>
      </c>
      <c r="F3"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6380-0CCF-402D-A902-96E5B61CA098}">
  <dimension ref="A1:A75"/>
  <sheetViews>
    <sheetView workbookViewId="0">
      <selection activeCell="A62" sqref="A62"/>
    </sheetView>
  </sheetViews>
  <sheetFormatPr defaultRowHeight="14.4" x14ac:dyDescent="0.3"/>
  <cols>
    <col min="1" max="1" width="227.88671875" bestFit="1" customWidth="1"/>
  </cols>
  <sheetData>
    <row r="1" spans="1:1" ht="23.4" x14ac:dyDescent="0.3">
      <c r="A1" s="20" t="s">
        <v>125</v>
      </c>
    </row>
    <row r="3" spans="1:1" ht="18" x14ac:dyDescent="0.3">
      <c r="A3" s="21" t="s">
        <v>73</v>
      </c>
    </row>
    <row r="4" spans="1:1" x14ac:dyDescent="0.3">
      <c r="A4" t="s">
        <v>74</v>
      </c>
    </row>
    <row r="5" spans="1:1" x14ac:dyDescent="0.3">
      <c r="A5" t="s">
        <v>75</v>
      </c>
    </row>
    <row r="7" spans="1:1" ht="18" x14ac:dyDescent="0.3">
      <c r="A7" s="21" t="s">
        <v>76</v>
      </c>
    </row>
    <row r="8" spans="1:1" ht="18" x14ac:dyDescent="0.3">
      <c r="A8" s="21"/>
    </row>
    <row r="9" spans="1:1" x14ac:dyDescent="0.3">
      <c r="A9" t="s">
        <v>77</v>
      </c>
    </row>
    <row r="10" spans="1:1" x14ac:dyDescent="0.3">
      <c r="A10" t="s">
        <v>78</v>
      </c>
    </row>
    <row r="11" spans="1:1" x14ac:dyDescent="0.3">
      <c r="A11" s="22" t="s">
        <v>79</v>
      </c>
    </row>
    <row r="12" spans="1:1" x14ac:dyDescent="0.3">
      <c r="A12" s="22" t="s">
        <v>80</v>
      </c>
    </row>
    <row r="13" spans="1:1" x14ac:dyDescent="0.3">
      <c r="A13" s="22" t="s">
        <v>81</v>
      </c>
    </row>
    <row r="14" spans="1:1" x14ac:dyDescent="0.3">
      <c r="A14" s="23" t="s">
        <v>82</v>
      </c>
    </row>
    <row r="16" spans="1:1" ht="18" x14ac:dyDescent="0.3">
      <c r="A16" s="21" t="s">
        <v>83</v>
      </c>
    </row>
    <row r="18" spans="1:1" x14ac:dyDescent="0.3">
      <c r="A18" t="s">
        <v>84</v>
      </c>
    </row>
    <row r="19" spans="1:1" x14ac:dyDescent="0.3">
      <c r="A19" s="23" t="s">
        <v>85</v>
      </c>
    </row>
    <row r="20" spans="1:1" x14ac:dyDescent="0.3">
      <c r="A20" s="23" t="s">
        <v>86</v>
      </c>
    </row>
    <row r="21" spans="1:1" x14ac:dyDescent="0.3">
      <c r="A21" s="23" t="s">
        <v>87</v>
      </c>
    </row>
    <row r="22" spans="1:1" x14ac:dyDescent="0.3">
      <c r="A22" s="23" t="s">
        <v>88</v>
      </c>
    </row>
    <row r="23" spans="1:1" x14ac:dyDescent="0.3">
      <c r="A23" t="s">
        <v>89</v>
      </c>
    </row>
    <row r="25" spans="1:1" ht="18" x14ac:dyDescent="0.3">
      <c r="A25" s="21" t="s">
        <v>90</v>
      </c>
    </row>
    <row r="27" spans="1:1" x14ac:dyDescent="0.3">
      <c r="A27" t="s">
        <v>91</v>
      </c>
    </row>
    <row r="28" spans="1:1" x14ac:dyDescent="0.3">
      <c r="A28" s="23" t="s">
        <v>92</v>
      </c>
    </row>
    <row r="29" spans="1:1" x14ac:dyDescent="0.3">
      <c r="A29" s="22" t="s">
        <v>93</v>
      </c>
    </row>
    <row r="30" spans="1:1" x14ac:dyDescent="0.3">
      <c r="A30" s="22"/>
    </row>
    <row r="31" spans="1:1" x14ac:dyDescent="0.3">
      <c r="A31" s="23" t="s">
        <v>94</v>
      </c>
    </row>
    <row r="32" spans="1:1" x14ac:dyDescent="0.3">
      <c r="A32" s="22" t="s">
        <v>95</v>
      </c>
    </row>
    <row r="33" spans="1:1" x14ac:dyDescent="0.3">
      <c r="A33" s="22"/>
    </row>
    <row r="34" spans="1:1" x14ac:dyDescent="0.3">
      <c r="A34" s="23" t="s">
        <v>96</v>
      </c>
    </row>
    <row r="35" spans="1:1" x14ac:dyDescent="0.3">
      <c r="A35" s="22" t="s">
        <v>97</v>
      </c>
    </row>
    <row r="36" spans="1:1" x14ac:dyDescent="0.3">
      <c r="A36" s="22"/>
    </row>
    <row r="37" spans="1:1" x14ac:dyDescent="0.3">
      <c r="A37" s="23" t="s">
        <v>98</v>
      </c>
    </row>
    <row r="38" spans="1:1" x14ac:dyDescent="0.3">
      <c r="A38" s="22" t="s">
        <v>99</v>
      </c>
    </row>
    <row r="40" spans="1:1" ht="18" x14ac:dyDescent="0.3">
      <c r="A40" s="21" t="s">
        <v>100</v>
      </c>
    </row>
    <row r="42" spans="1:1" x14ac:dyDescent="0.3">
      <c r="A42" t="s">
        <v>101</v>
      </c>
    </row>
    <row r="43" spans="1:1" x14ac:dyDescent="0.3">
      <c r="A43" s="23" t="s">
        <v>102</v>
      </c>
    </row>
    <row r="44" spans="1:1" x14ac:dyDescent="0.3">
      <c r="A44" s="23" t="s">
        <v>103</v>
      </c>
    </row>
    <row r="45" spans="1:1" x14ac:dyDescent="0.3">
      <c r="A45" t="s">
        <v>104</v>
      </c>
    </row>
    <row r="47" spans="1:1" ht="18" x14ac:dyDescent="0.3">
      <c r="A47" s="21" t="s">
        <v>105</v>
      </c>
    </row>
    <row r="49" spans="1:1" x14ac:dyDescent="0.3">
      <c r="A49" t="s">
        <v>106</v>
      </c>
    </row>
    <row r="50" spans="1:1" x14ac:dyDescent="0.3">
      <c r="A50" s="23" t="s">
        <v>107</v>
      </c>
    </row>
    <row r="51" spans="1:1" x14ac:dyDescent="0.3">
      <c r="A51" s="23" t="s">
        <v>108</v>
      </c>
    </row>
    <row r="52" spans="1:1" x14ac:dyDescent="0.3">
      <c r="A52" t="s">
        <v>109</v>
      </c>
    </row>
    <row r="54" spans="1:1" ht="18" x14ac:dyDescent="0.3">
      <c r="A54" s="21" t="s">
        <v>110</v>
      </c>
    </row>
    <row r="56" spans="1:1" x14ac:dyDescent="0.3">
      <c r="A56" t="s">
        <v>111</v>
      </c>
    </row>
    <row r="57" spans="1:1" x14ac:dyDescent="0.3">
      <c r="A57" s="23" t="s">
        <v>127</v>
      </c>
    </row>
    <row r="58" spans="1:1" x14ac:dyDescent="0.3">
      <c r="A58" s="23" t="s">
        <v>112</v>
      </c>
    </row>
    <row r="59" spans="1:1" x14ac:dyDescent="0.3">
      <c r="A59" s="23" t="s">
        <v>113</v>
      </c>
    </row>
    <row r="60" spans="1:1" x14ac:dyDescent="0.3">
      <c r="A60" s="23" t="s">
        <v>114</v>
      </c>
    </row>
    <row r="61" spans="1:1" x14ac:dyDescent="0.3">
      <c r="A61" s="23" t="s">
        <v>126</v>
      </c>
    </row>
    <row r="63" spans="1:1" ht="18" x14ac:dyDescent="0.3">
      <c r="A63" s="21" t="s">
        <v>115</v>
      </c>
    </row>
    <row r="64" spans="1:1" x14ac:dyDescent="0.3">
      <c r="A64" s="22"/>
    </row>
    <row r="65" spans="1:1" x14ac:dyDescent="0.3">
      <c r="A65" s="22" t="s">
        <v>116</v>
      </c>
    </row>
    <row r="66" spans="1:1" x14ac:dyDescent="0.3">
      <c r="A66" s="22" t="s">
        <v>117</v>
      </c>
    </row>
    <row r="67" spans="1:1" x14ac:dyDescent="0.3">
      <c r="A67" s="22" t="s">
        <v>118</v>
      </c>
    </row>
    <row r="69" spans="1:1" ht="18" x14ac:dyDescent="0.3">
      <c r="A69" s="21" t="s">
        <v>119</v>
      </c>
    </row>
    <row r="71" spans="1:1" x14ac:dyDescent="0.3">
      <c r="A71" t="s">
        <v>120</v>
      </c>
    </row>
    <row r="72" spans="1:1" x14ac:dyDescent="0.3">
      <c r="A72" s="22" t="s">
        <v>121</v>
      </c>
    </row>
    <row r="73" spans="1:1" x14ac:dyDescent="0.3">
      <c r="A73" s="22" t="s">
        <v>122</v>
      </c>
    </row>
    <row r="74" spans="1:1" x14ac:dyDescent="0.3">
      <c r="A74" s="22" t="s">
        <v>123</v>
      </c>
    </row>
    <row r="75" spans="1:1" x14ac:dyDescent="0.3">
      <c r="A75" t="s">
        <v>124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9666-82E0-40D5-B6D9-C84DD74F4992}">
  <dimension ref="A1:B4"/>
  <sheetViews>
    <sheetView workbookViewId="0">
      <selection activeCell="C8" sqref="C8"/>
    </sheetView>
  </sheetViews>
  <sheetFormatPr defaultRowHeight="14.4" x14ac:dyDescent="0.3"/>
  <sheetData>
    <row r="1" spans="1:2" ht="13.8" customHeight="1" x14ac:dyDescent="0.3"/>
    <row r="2" spans="1:2" x14ac:dyDescent="0.3">
      <c r="A2" t="s">
        <v>15</v>
      </c>
      <c r="B2">
        <f>ABS(SUMIFS(tbl_finance[Amount], tbl_finance[Department], A2, tbl_finance[Category], "Expense"))</f>
        <v>845000</v>
      </c>
    </row>
    <row r="3" spans="1:2" x14ac:dyDescent="0.3">
      <c r="A3" t="s">
        <v>17</v>
      </c>
      <c r="B3">
        <f>ABS(SUMIFS(tbl_finance[Amount], tbl_finance[Department], A3, tbl_finance[Category], "Expense"))</f>
        <v>730000</v>
      </c>
    </row>
    <row r="4" spans="1:2" x14ac:dyDescent="0.3">
      <c r="A4" t="s">
        <v>12</v>
      </c>
      <c r="B4">
        <f>ABS(SUMIFS(tbl_finance[Amount], tbl_finance[Department], A4, tbl_finance[Category], "Expense"))</f>
        <v>825000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AEC4A0-34FE-4DEF-9674-27CA227FC6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KPI_Calculations</vt:lpstr>
      <vt:lpstr>Pivot_Analysis</vt:lpstr>
      <vt:lpstr>Dashboard</vt:lpstr>
      <vt:lpstr>Instructions</vt:lpstr>
      <vt:lpstr>Chart_Data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Sahithi Reddy</dc:creator>
  <cp:lastModifiedBy>Sahithi Reddy</cp:lastModifiedBy>
  <dcterms:created xsi:type="dcterms:W3CDTF">2025-12-27T09:25:12Z</dcterms:created>
  <dcterms:modified xsi:type="dcterms:W3CDTF">2025-12-28T11:20:09Z</dcterms:modified>
</cp:coreProperties>
</file>